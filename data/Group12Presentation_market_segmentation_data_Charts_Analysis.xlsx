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A825CB6F-8A40-A54A-A41E-5E27948D53AB}" xr6:coauthVersionLast="47" xr6:coauthVersionMax="47" xr10:uidLastSave="{00000000-0000-0000-0000-000000000000}"/>
  <bookViews>
    <workbookView xWindow="0" yWindow="0" windowWidth="28800" windowHeight="18000" activeTab="8" xr2:uid="{00000000-000D-0000-FFFF-FFFF00000000}"/>
  </bookViews>
  <sheets>
    <sheet name="RawData" sheetId="1" r:id="rId1"/>
    <sheet name="Demographics" sheetId="2" r:id="rId2"/>
    <sheet name="Geographic" sheetId="3" r:id="rId3"/>
    <sheet name="Behavioural" sheetId="4" r:id="rId4"/>
    <sheet name="AnalysisDashboard" sheetId="6" r:id="rId5"/>
    <sheet name="Group Presentation_market_segme" sheetId="7" r:id="rId6"/>
    <sheet name="Segment_Summary" sheetId="9" r:id="rId7"/>
    <sheet name="PYTON_GENERATED" sheetId="8" r:id="rId8"/>
    <sheet name="FlowChart" sheetId="10" r:id="rId9"/>
  </sheets>
  <calcPr calcId="191029"/>
  <pivotCaches>
    <pivotCache cacheId="13" r:id="rId10"/>
    <pivotCache cacheId="18" r:id="rId11"/>
    <pivotCache cacheId="31" r:id="rId12"/>
    <pivotCache cacheId="41" r:id="rId13"/>
    <pivotCache cacheId="50" r:id="rId14"/>
    <pivotCache cacheId="52" r:id="rId15"/>
    <pivotCache cacheId="53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1" i="3" l="1"/>
  <c r="M101" i="3"/>
  <c r="L101" i="3"/>
  <c r="K101" i="3"/>
  <c r="N100" i="3"/>
  <c r="L100" i="3" s="1"/>
  <c r="M100" i="3"/>
  <c r="K100" i="3"/>
  <c r="N99" i="3"/>
  <c r="L99" i="3" s="1"/>
  <c r="O99" i="3" s="1"/>
  <c r="M99" i="3"/>
  <c r="K99" i="3"/>
  <c r="N98" i="3"/>
  <c r="M98" i="3"/>
  <c r="L98" i="3"/>
  <c r="K98" i="3"/>
  <c r="N97" i="3"/>
  <c r="M97" i="3"/>
  <c r="L97" i="3"/>
  <c r="K97" i="3"/>
  <c r="N96" i="3"/>
  <c r="M96" i="3"/>
  <c r="L96" i="3"/>
  <c r="K96" i="3"/>
  <c r="N95" i="3"/>
  <c r="M95" i="3"/>
  <c r="L95" i="3"/>
  <c r="K95" i="3"/>
  <c r="N94" i="3"/>
  <c r="M94" i="3"/>
  <c r="L94" i="3"/>
  <c r="K94" i="3"/>
  <c r="N93" i="3"/>
  <c r="L93" i="3" s="1"/>
  <c r="M93" i="3"/>
  <c r="K93" i="3"/>
  <c r="N92" i="3"/>
  <c r="L92" i="3" s="1"/>
  <c r="M92" i="3"/>
  <c r="K92" i="3"/>
  <c r="N91" i="3"/>
  <c r="M91" i="3"/>
  <c r="L91" i="3"/>
  <c r="K91" i="3"/>
  <c r="N90" i="3"/>
  <c r="M90" i="3"/>
  <c r="L90" i="3"/>
  <c r="K90" i="3"/>
  <c r="N89" i="3"/>
  <c r="M89" i="3"/>
  <c r="L89" i="3"/>
  <c r="K89" i="3"/>
  <c r="N88" i="3"/>
  <c r="L88" i="3" s="1"/>
  <c r="M88" i="3"/>
  <c r="K88" i="3"/>
  <c r="N87" i="3"/>
  <c r="L87" i="3" s="1"/>
  <c r="M87" i="3"/>
  <c r="K87" i="3"/>
  <c r="N86" i="3"/>
  <c r="M86" i="3"/>
  <c r="L86" i="3"/>
  <c r="K86" i="3"/>
  <c r="N85" i="3"/>
  <c r="M85" i="3"/>
  <c r="L85" i="3"/>
  <c r="K85" i="3"/>
  <c r="N84" i="3"/>
  <c r="L84" i="3" s="1"/>
  <c r="M84" i="3"/>
  <c r="K84" i="3"/>
  <c r="N83" i="3"/>
  <c r="M83" i="3"/>
  <c r="L83" i="3"/>
  <c r="K83" i="3"/>
  <c r="N82" i="3"/>
  <c r="M82" i="3"/>
  <c r="L82" i="3"/>
  <c r="K82" i="3"/>
  <c r="N81" i="3"/>
  <c r="M81" i="3"/>
  <c r="L81" i="3"/>
  <c r="K81" i="3"/>
  <c r="N80" i="3"/>
  <c r="L80" i="3" s="1"/>
  <c r="M80" i="3"/>
  <c r="K80" i="3"/>
  <c r="N79" i="3"/>
  <c r="L79" i="3" s="1"/>
  <c r="M79" i="3"/>
  <c r="K79" i="3"/>
  <c r="N78" i="3"/>
  <c r="M78" i="3"/>
  <c r="L78" i="3"/>
  <c r="K78" i="3"/>
  <c r="N77" i="3"/>
  <c r="M77" i="3"/>
  <c r="L77" i="3"/>
  <c r="K77" i="3"/>
  <c r="N76" i="3"/>
  <c r="L76" i="3" s="1"/>
  <c r="M76" i="3"/>
  <c r="K76" i="3"/>
  <c r="N75" i="3"/>
  <c r="M75" i="3"/>
  <c r="L75" i="3"/>
  <c r="K75" i="3"/>
  <c r="N74" i="3"/>
  <c r="M74" i="3"/>
  <c r="L74" i="3"/>
  <c r="K74" i="3"/>
  <c r="N73" i="3"/>
  <c r="M73" i="3"/>
  <c r="L73" i="3"/>
  <c r="K73" i="3"/>
  <c r="N72" i="3"/>
  <c r="L72" i="3" s="1"/>
  <c r="M72" i="3"/>
  <c r="K72" i="3"/>
  <c r="N71" i="3"/>
  <c r="L71" i="3" s="1"/>
  <c r="M71" i="3"/>
  <c r="K71" i="3"/>
  <c r="N70" i="3"/>
  <c r="M70" i="3"/>
  <c r="L70" i="3"/>
  <c r="K70" i="3"/>
  <c r="N69" i="3"/>
  <c r="M69" i="3"/>
  <c r="L69" i="3"/>
  <c r="K69" i="3"/>
  <c r="N68" i="3"/>
  <c r="L68" i="3" s="1"/>
  <c r="M68" i="3"/>
  <c r="K68" i="3"/>
  <c r="N67" i="3"/>
  <c r="M67" i="3"/>
  <c r="L67" i="3"/>
  <c r="K67" i="3"/>
  <c r="N66" i="3"/>
  <c r="M66" i="3"/>
  <c r="L66" i="3"/>
  <c r="K66" i="3"/>
  <c r="N65" i="3"/>
  <c r="M65" i="3"/>
  <c r="L65" i="3"/>
  <c r="K65" i="3"/>
  <c r="N64" i="3"/>
  <c r="L64" i="3" s="1"/>
  <c r="O64" i="3" s="1"/>
  <c r="M64" i="3"/>
  <c r="K64" i="3"/>
  <c r="N63" i="3"/>
  <c r="L63" i="3" s="1"/>
  <c r="M63" i="3"/>
  <c r="K63" i="3"/>
  <c r="N62" i="3"/>
  <c r="M62" i="3"/>
  <c r="L62" i="3"/>
  <c r="O62" i="3" s="1"/>
  <c r="K62" i="3"/>
  <c r="N61" i="3"/>
  <c r="M61" i="3"/>
  <c r="L61" i="3"/>
  <c r="K61" i="3"/>
  <c r="N60" i="3"/>
  <c r="L60" i="3" s="1"/>
  <c r="M60" i="3"/>
  <c r="K60" i="3"/>
  <c r="N59" i="3"/>
  <c r="M59" i="3"/>
  <c r="L59" i="3"/>
  <c r="K59" i="3"/>
  <c r="N58" i="3"/>
  <c r="M58" i="3"/>
  <c r="L58" i="3"/>
  <c r="K58" i="3"/>
  <c r="N57" i="3"/>
  <c r="M57" i="3"/>
  <c r="L57" i="3"/>
  <c r="K57" i="3"/>
  <c r="N56" i="3"/>
  <c r="L56" i="3" s="1"/>
  <c r="M56" i="3"/>
  <c r="K56" i="3"/>
  <c r="N55" i="3"/>
  <c r="L55" i="3" s="1"/>
  <c r="M55" i="3"/>
  <c r="K55" i="3"/>
  <c r="N54" i="3"/>
  <c r="M54" i="3"/>
  <c r="L54" i="3"/>
  <c r="K54" i="3"/>
  <c r="N53" i="3"/>
  <c r="M53" i="3"/>
  <c r="L53" i="3"/>
  <c r="K53" i="3"/>
  <c r="N52" i="3"/>
  <c r="M52" i="3"/>
  <c r="L52" i="3"/>
  <c r="K52" i="3"/>
  <c r="N51" i="3"/>
  <c r="L51" i="3" s="1"/>
  <c r="M51" i="3"/>
  <c r="K51" i="3"/>
  <c r="N50" i="3"/>
  <c r="L50" i="3" s="1"/>
  <c r="M50" i="3"/>
  <c r="K50" i="3"/>
  <c r="N49" i="3"/>
  <c r="M49" i="3"/>
  <c r="L49" i="3"/>
  <c r="K49" i="3"/>
  <c r="N48" i="3"/>
  <c r="M48" i="3"/>
  <c r="L48" i="3"/>
  <c r="K48" i="3"/>
  <c r="N47" i="3"/>
  <c r="L47" i="3" s="1"/>
  <c r="M47" i="3"/>
  <c r="K47" i="3"/>
  <c r="N46" i="3"/>
  <c r="M46" i="3"/>
  <c r="L46" i="3"/>
  <c r="K46" i="3"/>
  <c r="N45" i="3"/>
  <c r="M45" i="3"/>
  <c r="L45" i="3"/>
  <c r="K45" i="3"/>
  <c r="N44" i="3"/>
  <c r="M44" i="3"/>
  <c r="L44" i="3"/>
  <c r="K44" i="3"/>
  <c r="N43" i="3"/>
  <c r="L43" i="3" s="1"/>
  <c r="M43" i="3"/>
  <c r="K43" i="3"/>
  <c r="N42" i="3"/>
  <c r="L42" i="3" s="1"/>
  <c r="M42" i="3"/>
  <c r="K42" i="3"/>
  <c r="N41" i="3"/>
  <c r="M41" i="3"/>
  <c r="L41" i="3"/>
  <c r="K41" i="3"/>
  <c r="N40" i="3"/>
  <c r="L40" i="3" s="1"/>
  <c r="M40" i="3"/>
  <c r="K40" i="3"/>
  <c r="N39" i="3"/>
  <c r="L39" i="3" s="1"/>
  <c r="M39" i="3"/>
  <c r="K39" i="3"/>
  <c r="N38" i="3"/>
  <c r="M38" i="3"/>
  <c r="L38" i="3"/>
  <c r="K38" i="3"/>
  <c r="N37" i="3"/>
  <c r="M37" i="3"/>
  <c r="L37" i="3"/>
  <c r="K37" i="3"/>
  <c r="N36" i="3"/>
  <c r="M36" i="3"/>
  <c r="L36" i="3"/>
  <c r="K36" i="3"/>
  <c r="N35" i="3"/>
  <c r="L35" i="3" s="1"/>
  <c r="O35" i="3" s="1"/>
  <c r="M35" i="3"/>
  <c r="K35" i="3"/>
  <c r="N34" i="3"/>
  <c r="L34" i="3" s="1"/>
  <c r="M34" i="3"/>
  <c r="K34" i="3"/>
  <c r="N33" i="3"/>
  <c r="M33" i="3"/>
  <c r="L33" i="3"/>
  <c r="O33" i="3" s="1"/>
  <c r="K33" i="3"/>
  <c r="N32" i="3"/>
  <c r="M32" i="3"/>
  <c r="L32" i="3"/>
  <c r="K32" i="3"/>
  <c r="N31" i="3"/>
  <c r="M31" i="3"/>
  <c r="L31" i="3"/>
  <c r="O31" i="3" s="1"/>
  <c r="K31" i="3"/>
  <c r="N30" i="3"/>
  <c r="L30" i="3" s="1"/>
  <c r="M30" i="3"/>
  <c r="K30" i="3"/>
  <c r="N29" i="3"/>
  <c r="L29" i="3" s="1"/>
  <c r="M29" i="3"/>
  <c r="K29" i="3"/>
  <c r="N28" i="3"/>
  <c r="M28" i="3"/>
  <c r="L28" i="3"/>
  <c r="K28" i="3"/>
  <c r="N27" i="3"/>
  <c r="L27" i="3" s="1"/>
  <c r="M27" i="3"/>
  <c r="K27" i="3"/>
  <c r="N26" i="3"/>
  <c r="L26" i="3" s="1"/>
  <c r="M26" i="3"/>
  <c r="K26" i="3"/>
  <c r="N25" i="3"/>
  <c r="M25" i="3"/>
  <c r="L25" i="3"/>
  <c r="K25" i="3"/>
  <c r="N24" i="3"/>
  <c r="M24" i="3"/>
  <c r="L24" i="3"/>
  <c r="K24" i="3"/>
  <c r="N23" i="3"/>
  <c r="M23" i="3"/>
  <c r="L23" i="3"/>
  <c r="K23" i="3"/>
  <c r="N22" i="3"/>
  <c r="L22" i="3" s="1"/>
  <c r="M22" i="3"/>
  <c r="K22" i="3"/>
  <c r="N21" i="3"/>
  <c r="L21" i="3" s="1"/>
  <c r="M21" i="3"/>
  <c r="K21" i="3"/>
  <c r="N20" i="3"/>
  <c r="M20" i="3"/>
  <c r="L20" i="3"/>
  <c r="K20" i="3"/>
  <c r="N19" i="3"/>
  <c r="L19" i="3" s="1"/>
  <c r="O19" i="3" s="1"/>
  <c r="M19" i="3"/>
  <c r="K19" i="3"/>
  <c r="N18" i="3"/>
  <c r="L18" i="3" s="1"/>
  <c r="M18" i="3"/>
  <c r="K18" i="3"/>
  <c r="N17" i="3"/>
  <c r="M17" i="3"/>
  <c r="L17" i="3"/>
  <c r="O17" i="3" s="1"/>
  <c r="K17" i="3"/>
  <c r="N16" i="3"/>
  <c r="M16" i="3"/>
  <c r="L16" i="3"/>
  <c r="K16" i="3"/>
  <c r="N15" i="3"/>
  <c r="M15" i="3"/>
  <c r="L15" i="3"/>
  <c r="O15" i="3" s="1"/>
  <c r="K15" i="3"/>
  <c r="N14" i="3"/>
  <c r="L14" i="3" s="1"/>
  <c r="M14" i="3"/>
  <c r="K14" i="3"/>
  <c r="N13" i="3"/>
  <c r="L13" i="3" s="1"/>
  <c r="M13" i="3"/>
  <c r="K13" i="3"/>
  <c r="N12" i="3"/>
  <c r="M12" i="3"/>
  <c r="L12" i="3"/>
  <c r="K12" i="3"/>
  <c r="N11" i="3"/>
  <c r="L11" i="3" s="1"/>
  <c r="M11" i="3"/>
  <c r="K11" i="3"/>
  <c r="N10" i="3"/>
  <c r="L10" i="3" s="1"/>
  <c r="M10" i="3"/>
  <c r="K10" i="3"/>
  <c r="N9" i="3"/>
  <c r="M9" i="3"/>
  <c r="L9" i="3"/>
  <c r="K9" i="3"/>
  <c r="N8" i="3"/>
  <c r="M8" i="3"/>
  <c r="L8" i="3"/>
  <c r="K8" i="3"/>
  <c r="N7" i="3"/>
  <c r="M7" i="3"/>
  <c r="L7" i="3"/>
  <c r="K7" i="3"/>
  <c r="N6" i="3"/>
  <c r="L6" i="3" s="1"/>
  <c r="M6" i="3"/>
  <c r="K6" i="3"/>
  <c r="N5" i="3"/>
  <c r="L5" i="3" s="1"/>
  <c r="M5" i="3"/>
  <c r="K5" i="3"/>
  <c r="N4" i="3"/>
  <c r="M4" i="3"/>
  <c r="L4" i="3"/>
  <c r="K4" i="3"/>
  <c r="N3" i="3"/>
  <c r="M3" i="3"/>
  <c r="L3" i="3"/>
  <c r="K3" i="3"/>
  <c r="N2" i="3"/>
  <c r="M2" i="3"/>
  <c r="L2" i="3"/>
  <c r="K2" i="3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1" i="7"/>
  <c r="O92" i="7"/>
  <c r="O93" i="7"/>
  <c r="O94" i="7"/>
  <c r="O95" i="7"/>
  <c r="O96" i="7"/>
  <c r="O97" i="7"/>
  <c r="O98" i="7"/>
  <c r="O99" i="7"/>
  <c r="O100" i="7"/>
  <c r="O101" i="7"/>
  <c r="O9" i="7"/>
  <c r="O10" i="7"/>
  <c r="O11" i="7"/>
  <c r="O12" i="7"/>
  <c r="O13" i="7"/>
  <c r="O14" i="7"/>
  <c r="O15" i="7"/>
  <c r="N3" i="7"/>
  <c r="L3" i="7" s="1"/>
  <c r="N4" i="7"/>
  <c r="L4" i="7" s="1"/>
  <c r="N5" i="7"/>
  <c r="L5" i="7" s="1"/>
  <c r="N6" i="7"/>
  <c r="L6" i="7" s="1"/>
  <c r="N7" i="7"/>
  <c r="L7" i="7" s="1"/>
  <c r="N8" i="7"/>
  <c r="L8" i="7" s="1"/>
  <c r="N9" i="7"/>
  <c r="L9" i="7" s="1"/>
  <c r="N10" i="7"/>
  <c r="L10" i="7" s="1"/>
  <c r="N11" i="7"/>
  <c r="L11" i="7" s="1"/>
  <c r="N12" i="7"/>
  <c r="L12" i="7" s="1"/>
  <c r="N13" i="7"/>
  <c r="L13" i="7" s="1"/>
  <c r="N14" i="7"/>
  <c r="L14" i="7" s="1"/>
  <c r="N15" i="7"/>
  <c r="L15" i="7" s="1"/>
  <c r="N16" i="7"/>
  <c r="L16" i="7" s="1"/>
  <c r="N17" i="7"/>
  <c r="L17" i="7" s="1"/>
  <c r="N18" i="7"/>
  <c r="L18" i="7" s="1"/>
  <c r="N19" i="7"/>
  <c r="L19" i="7" s="1"/>
  <c r="N20" i="7"/>
  <c r="L20" i="7" s="1"/>
  <c r="N21" i="7"/>
  <c r="L21" i="7" s="1"/>
  <c r="N22" i="7"/>
  <c r="L22" i="7" s="1"/>
  <c r="N23" i="7"/>
  <c r="L23" i="7" s="1"/>
  <c r="N24" i="7"/>
  <c r="L24" i="7" s="1"/>
  <c r="N25" i="7"/>
  <c r="L25" i="7" s="1"/>
  <c r="N26" i="7"/>
  <c r="L26" i="7" s="1"/>
  <c r="N27" i="7"/>
  <c r="L27" i="7" s="1"/>
  <c r="N28" i="7"/>
  <c r="L28" i="7" s="1"/>
  <c r="N29" i="7"/>
  <c r="L29" i="7" s="1"/>
  <c r="N30" i="7"/>
  <c r="L30" i="7" s="1"/>
  <c r="N31" i="7"/>
  <c r="L31" i="7" s="1"/>
  <c r="N32" i="7"/>
  <c r="L32" i="7" s="1"/>
  <c r="N33" i="7"/>
  <c r="L33" i="7" s="1"/>
  <c r="N34" i="7"/>
  <c r="L34" i="7" s="1"/>
  <c r="N35" i="7"/>
  <c r="L35" i="7" s="1"/>
  <c r="N36" i="7"/>
  <c r="L36" i="7" s="1"/>
  <c r="N37" i="7"/>
  <c r="L37" i="7" s="1"/>
  <c r="N38" i="7"/>
  <c r="L38" i="7" s="1"/>
  <c r="N39" i="7"/>
  <c r="L39" i="7" s="1"/>
  <c r="N40" i="7"/>
  <c r="L40" i="7" s="1"/>
  <c r="N41" i="7"/>
  <c r="L41" i="7" s="1"/>
  <c r="N42" i="7"/>
  <c r="L42" i="7" s="1"/>
  <c r="N43" i="7"/>
  <c r="L43" i="7" s="1"/>
  <c r="N44" i="7"/>
  <c r="L44" i="7" s="1"/>
  <c r="N45" i="7"/>
  <c r="L45" i="7" s="1"/>
  <c r="N46" i="7"/>
  <c r="L46" i="7" s="1"/>
  <c r="N47" i="7"/>
  <c r="L47" i="7" s="1"/>
  <c r="N48" i="7"/>
  <c r="L48" i="7" s="1"/>
  <c r="N49" i="7"/>
  <c r="L49" i="7" s="1"/>
  <c r="N50" i="7"/>
  <c r="L50" i="7" s="1"/>
  <c r="N51" i="7"/>
  <c r="L51" i="7" s="1"/>
  <c r="N52" i="7"/>
  <c r="L52" i="7" s="1"/>
  <c r="N53" i="7"/>
  <c r="L53" i="7" s="1"/>
  <c r="N54" i="7"/>
  <c r="L54" i="7" s="1"/>
  <c r="N55" i="7"/>
  <c r="L55" i="7" s="1"/>
  <c r="N56" i="7"/>
  <c r="L56" i="7" s="1"/>
  <c r="N57" i="7"/>
  <c r="L57" i="7" s="1"/>
  <c r="N58" i="7"/>
  <c r="L58" i="7" s="1"/>
  <c r="N59" i="7"/>
  <c r="L59" i="7" s="1"/>
  <c r="N60" i="7"/>
  <c r="L60" i="7" s="1"/>
  <c r="N61" i="7"/>
  <c r="L61" i="7" s="1"/>
  <c r="N62" i="7"/>
  <c r="L62" i="7" s="1"/>
  <c r="N63" i="7"/>
  <c r="L63" i="7" s="1"/>
  <c r="N64" i="7"/>
  <c r="L64" i="7" s="1"/>
  <c r="N65" i="7"/>
  <c r="L65" i="7" s="1"/>
  <c r="N66" i="7"/>
  <c r="L66" i="7" s="1"/>
  <c r="N67" i="7"/>
  <c r="L67" i="7" s="1"/>
  <c r="N68" i="7"/>
  <c r="L68" i="7" s="1"/>
  <c r="N69" i="7"/>
  <c r="L69" i="7" s="1"/>
  <c r="N70" i="7"/>
  <c r="L70" i="7" s="1"/>
  <c r="N71" i="7"/>
  <c r="L71" i="7" s="1"/>
  <c r="N72" i="7"/>
  <c r="L72" i="7" s="1"/>
  <c r="N73" i="7"/>
  <c r="L73" i="7" s="1"/>
  <c r="N74" i="7"/>
  <c r="L74" i="7" s="1"/>
  <c r="N75" i="7"/>
  <c r="L75" i="7" s="1"/>
  <c r="N76" i="7"/>
  <c r="L76" i="7" s="1"/>
  <c r="N77" i="7"/>
  <c r="L77" i="7" s="1"/>
  <c r="N78" i="7"/>
  <c r="L78" i="7" s="1"/>
  <c r="N79" i="7"/>
  <c r="L79" i="7" s="1"/>
  <c r="N80" i="7"/>
  <c r="L80" i="7" s="1"/>
  <c r="N81" i="7"/>
  <c r="L81" i="7" s="1"/>
  <c r="N82" i="7"/>
  <c r="L82" i="7" s="1"/>
  <c r="N83" i="7"/>
  <c r="L83" i="7" s="1"/>
  <c r="N84" i="7"/>
  <c r="L84" i="7" s="1"/>
  <c r="N85" i="7"/>
  <c r="L85" i="7" s="1"/>
  <c r="N86" i="7"/>
  <c r="L86" i="7" s="1"/>
  <c r="N87" i="7"/>
  <c r="L87" i="7" s="1"/>
  <c r="N88" i="7"/>
  <c r="L88" i="7" s="1"/>
  <c r="N89" i="7"/>
  <c r="L89" i="7" s="1"/>
  <c r="N90" i="7"/>
  <c r="L90" i="7" s="1"/>
  <c r="N91" i="7"/>
  <c r="L91" i="7" s="1"/>
  <c r="N92" i="7"/>
  <c r="L92" i="7" s="1"/>
  <c r="N93" i="7"/>
  <c r="L93" i="7" s="1"/>
  <c r="N94" i="7"/>
  <c r="L94" i="7" s="1"/>
  <c r="N95" i="7"/>
  <c r="L95" i="7" s="1"/>
  <c r="N96" i="7"/>
  <c r="L96" i="7" s="1"/>
  <c r="N97" i="7"/>
  <c r="L97" i="7" s="1"/>
  <c r="N98" i="7"/>
  <c r="L98" i="7" s="1"/>
  <c r="N99" i="7"/>
  <c r="L99" i="7" s="1"/>
  <c r="N100" i="7"/>
  <c r="L100" i="7" s="1"/>
  <c r="N101" i="7"/>
  <c r="L101" i="7" s="1"/>
  <c r="N2" i="7"/>
  <c r="L2" i="7" s="1"/>
  <c r="O2" i="7" s="1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  <c r="O10" i="3" l="1"/>
  <c r="O26" i="3"/>
  <c r="O42" i="3"/>
  <c r="O49" i="3"/>
  <c r="O51" i="3"/>
  <c r="O69" i="3"/>
  <c r="O84" i="3"/>
  <c r="O89" i="3"/>
  <c r="O91" i="3"/>
  <c r="O93" i="3"/>
  <c r="O6" i="3"/>
  <c r="O20" i="3"/>
  <c r="O38" i="3"/>
  <c r="O40" i="3"/>
  <c r="O60" i="3"/>
  <c r="O65" i="3"/>
  <c r="O67" i="3"/>
  <c r="O71" i="3"/>
  <c r="O78" i="3"/>
  <c r="O80" i="3"/>
  <c r="O9" i="3"/>
  <c r="O22" i="3"/>
  <c r="O13" i="3"/>
  <c r="O29" i="3"/>
  <c r="O47" i="3"/>
  <c r="O52" i="3"/>
  <c r="O54" i="3"/>
  <c r="O56" i="3"/>
  <c r="O85" i="3"/>
  <c r="O94" i="3"/>
  <c r="O96" i="3"/>
  <c r="O98" i="3"/>
  <c r="O100" i="3"/>
  <c r="O7" i="3"/>
  <c r="O11" i="3"/>
  <c r="O23" i="3"/>
  <c r="O25" i="3"/>
  <c r="O27" i="3"/>
  <c r="O41" i="3"/>
  <c r="O43" i="3"/>
  <c r="O61" i="3"/>
  <c r="O76" i="3"/>
  <c r="O81" i="3"/>
  <c r="O83" i="3"/>
  <c r="O87" i="3"/>
  <c r="O18" i="3"/>
  <c r="O34" i="3"/>
  <c r="O57" i="3"/>
  <c r="O59" i="3"/>
  <c r="O63" i="3"/>
  <c r="O70" i="3"/>
  <c r="O72" i="3"/>
  <c r="O101" i="3"/>
  <c r="O12" i="3"/>
  <c r="O14" i="3"/>
  <c r="O28" i="3"/>
  <c r="O30" i="3"/>
  <c r="O44" i="3"/>
  <c r="O46" i="3"/>
  <c r="O50" i="3"/>
  <c r="O77" i="3"/>
  <c r="O92" i="3"/>
  <c r="O8" i="3"/>
  <c r="O3" i="3"/>
  <c r="O21" i="3"/>
  <c r="O39" i="3"/>
  <c r="O68" i="3"/>
  <c r="O73" i="3"/>
  <c r="O75" i="3"/>
  <c r="O79" i="3"/>
  <c r="O86" i="3"/>
  <c r="O88" i="3"/>
  <c r="O58" i="3"/>
  <c r="O48" i="3"/>
  <c r="O82" i="3"/>
  <c r="O95" i="3"/>
  <c r="O97" i="3"/>
  <c r="O16" i="3"/>
  <c r="O24" i="3"/>
  <c r="O37" i="3"/>
  <c r="O2" i="3"/>
  <c r="O32" i="3"/>
  <c r="O45" i="3"/>
  <c r="O66" i="3"/>
  <c r="O53" i="3"/>
  <c r="O74" i="3"/>
  <c r="O4" i="3"/>
  <c r="O8" i="7"/>
  <c r="O7" i="7"/>
  <c r="O6" i="7"/>
  <c r="O4" i="7"/>
  <c r="O3" i="7"/>
</calcChain>
</file>

<file path=xl/sharedStrings.xml><?xml version="1.0" encoding="utf-8"?>
<sst xmlns="http://schemas.openxmlformats.org/spreadsheetml/2006/main" count="3197" uniqueCount="91">
  <si>
    <t>Customer ID</t>
  </si>
  <si>
    <t>Age</t>
  </si>
  <si>
    <t>Income</t>
  </si>
  <si>
    <t>Gender</t>
  </si>
  <si>
    <t>Region</t>
  </si>
  <si>
    <t>Purchasing Behavior</t>
  </si>
  <si>
    <t>Engagement with Promotions</t>
  </si>
  <si>
    <t>Female</t>
  </si>
  <si>
    <t>Male</t>
  </si>
  <si>
    <t>West</t>
  </si>
  <si>
    <t>East</t>
  </si>
  <si>
    <t>North</t>
  </si>
  <si>
    <t>South</t>
  </si>
  <si>
    <t>Low Spender</t>
  </si>
  <si>
    <t>High Spender</t>
  </si>
  <si>
    <t>Moderate Spender</t>
  </si>
  <si>
    <t>Often Engaged</t>
  </si>
  <si>
    <t>Never Engaged</t>
  </si>
  <si>
    <t>Rarely Engaged</t>
  </si>
  <si>
    <t>Age_Groups</t>
  </si>
  <si>
    <t>Row Labels</t>
  </si>
  <si>
    <t>18-24</t>
  </si>
  <si>
    <t>25-34</t>
  </si>
  <si>
    <t>35-44</t>
  </si>
  <si>
    <t>45-54</t>
  </si>
  <si>
    <t>55+</t>
  </si>
  <si>
    <t>Grand Total</t>
  </si>
  <si>
    <t>Column Labels</t>
  </si>
  <si>
    <t>Count of Customer ID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</si>
  <si>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</si>
  <si>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</si>
  <si>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</si>
  <si>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</si>
  <si>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</si>
  <si>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</si>
  <si>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</si>
  <si>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</si>
  <si>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</si>
  <si>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</si>
  <si>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</si>
  <si>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</si>
  <si>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</si>
  <si>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</si>
  <si>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Confidence Level(95.0%)</t>
  </si>
  <si>
    <t>Income_Category</t>
  </si>
  <si>
    <t>High Income</t>
  </si>
  <si>
    <t>Low Income</t>
  </si>
  <si>
    <t>Medium Income</t>
  </si>
  <si>
    <t>Value_Score</t>
  </si>
  <si>
    <t>Segment_Assignment</t>
  </si>
  <si>
    <t>Customer_Segments</t>
  </si>
  <si>
    <t>Customer_Segment</t>
  </si>
  <si>
    <t>Purchasing_Behavior_Numeric</t>
  </si>
  <si>
    <t>Engagement_Numeric</t>
  </si>
  <si>
    <t>Cluster</t>
  </si>
  <si>
    <t>Segmentation_Summary_by_Age__Income__Region__and_Purchasing_Behavior</t>
  </si>
  <si>
    <t>Age Group</t>
  </si>
  <si>
    <t>Income Category</t>
  </si>
  <si>
    <t>Customer Count</t>
  </si>
  <si>
    <t>18-29</t>
  </si>
  <si>
    <t>30-39</t>
  </si>
  <si>
    <t>40-49</t>
  </si>
  <si>
    <t>%Ofen_Engaged</t>
  </si>
  <si>
    <t>Moderately Engaged Prof.</t>
  </si>
  <si>
    <t>Other</t>
  </si>
  <si>
    <t>Age_Group</t>
  </si>
  <si>
    <t>(All)</t>
  </si>
  <si>
    <t>Sum of Income</t>
  </si>
  <si>
    <t>Average of Income</t>
  </si>
  <si>
    <t>Average of Age</t>
  </si>
  <si>
    <t>Average of Purchasing_Behavior_Numeric</t>
  </si>
  <si>
    <t>Average of Engagement_Numeric</t>
  </si>
  <si>
    <t>Average of Cluster</t>
  </si>
  <si>
    <t>Combined_Score</t>
  </si>
  <si>
    <t>Segment_Performance</t>
  </si>
  <si>
    <t>No Data</t>
  </si>
  <si>
    <t>Low-Income Retirees</t>
  </si>
  <si>
    <t>Wealthy Seniors</t>
  </si>
  <si>
    <t>Young Professionals</t>
  </si>
  <si>
    <t>Average of Combined_Score</t>
  </si>
  <si>
    <t>Average Income</t>
  </si>
  <si>
    <t>Revenue_Potential</t>
  </si>
  <si>
    <t xml:space="preserve">Segment                 </t>
  </si>
  <si>
    <t xml:space="preserve">Young Professionals    </t>
  </si>
  <si>
    <t xml:space="preserve">Wealthy Seniors        </t>
  </si>
  <si>
    <t xml:space="preserve">Other                   </t>
  </si>
  <si>
    <t xml:space="preserve">Low-Income Retirees     </t>
  </si>
  <si>
    <t xml:space="preserve">Grand Total            </t>
  </si>
  <si>
    <t>Total Count of Customer ID</t>
  </si>
  <si>
    <t>Total Average of Income</t>
  </si>
  <si>
    <t>Total Average of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</si>
</sst>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&quot;$&quot;#,##0.00"/>
  </numFmts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 (Body)"/>
    </font>
    <font>
      <sz val="11"/>
      <color rgb="FF000000"/>
      <name val="Calibri"/>
      <family val="2"/>
      <scheme val="minor"/>
    </font>
    <font>
      <sz val="10"/>
      <color indexed="8"/>
      <name val="Helvetica Neue"/>
      <family val="2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4"/>
      <color rgb="FF000000"/>
      <name val="-webkit-standard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Continuous"/>
    </xf>
    <xf numFmtId="0" fontId="4" fillId="0" borderId="4" xfId="0" applyFont="1" applyFill="1" applyBorder="1" applyAlignment="1">
      <alignment horizontal="centerContinuous"/>
    </xf>
    <xf numFmtId="10" fontId="0" fillId="0" borderId="0" xfId="0" applyNumberFormat="1"/>
    <xf numFmtId="0" fontId="5" fillId="0" borderId="0" xfId="0" applyFont="1"/>
    <xf numFmtId="0" fontId="1" fillId="0" borderId="0" xfId="1"/>
    <xf numFmtId="0" fontId="7" fillId="0" borderId="0" xfId="2" applyFont="1" applyAlignment="1">
      <alignment horizontal="center" vertical="center"/>
    </xf>
    <xf numFmtId="0" fontId="6" fillId="0" borderId="0" xfId="2" applyNumberFormat="1" applyAlignment="1">
      <alignment vertical="top"/>
    </xf>
    <xf numFmtId="49" fontId="8" fillId="2" borderId="5" xfId="2" applyNumberFormat="1" applyFont="1" applyFill="1" applyBorder="1" applyAlignment="1">
      <alignment vertical="top"/>
    </xf>
    <xf numFmtId="49" fontId="8" fillId="3" borderId="6" xfId="2" applyNumberFormat="1" applyFont="1" applyFill="1" applyBorder="1" applyAlignment="1">
      <alignment vertical="top"/>
    </xf>
    <xf numFmtId="49" fontId="6" fillId="0" borderId="7" xfId="2" applyNumberFormat="1" applyBorder="1" applyAlignment="1">
      <alignment vertical="top"/>
    </xf>
    <xf numFmtId="49" fontId="6" fillId="0" borderId="8" xfId="2" applyNumberFormat="1" applyBorder="1" applyAlignment="1">
      <alignment vertical="top"/>
    </xf>
    <xf numFmtId="0" fontId="6" fillId="0" borderId="8" xfId="2" applyNumberFormat="1" applyBorder="1" applyAlignment="1">
      <alignment vertical="top"/>
    </xf>
    <xf numFmtId="49" fontId="8" fillId="3" borderId="9" xfId="2" applyNumberFormat="1" applyFont="1" applyFill="1" applyBorder="1" applyAlignment="1">
      <alignment vertical="top"/>
    </xf>
    <xf numFmtId="49" fontId="6" fillId="0" borderId="10" xfId="2" applyNumberFormat="1" applyBorder="1" applyAlignment="1">
      <alignment vertical="top"/>
    </xf>
    <xf numFmtId="49" fontId="6" fillId="0" borderId="11" xfId="2" applyNumberFormat="1" applyBorder="1" applyAlignment="1">
      <alignment vertical="top"/>
    </xf>
    <xf numFmtId="0" fontId="6" fillId="0" borderId="11" xfId="2" applyNumberFormat="1" applyBorder="1" applyAlignment="1">
      <alignment vertical="top"/>
    </xf>
    <xf numFmtId="0" fontId="8" fillId="3" borderId="9" xfId="2" applyNumberFormat="1" applyFont="1" applyFill="1" applyBorder="1" applyAlignment="1">
      <alignment vertical="top"/>
    </xf>
    <xf numFmtId="0" fontId="1" fillId="0" borderId="0" xfId="1" applyFill="1"/>
    <xf numFmtId="0" fontId="9" fillId="0" borderId="0" xfId="0" applyFont="1"/>
    <xf numFmtId="168" fontId="0" fillId="0" borderId="0" xfId="0" applyNumberFormat="1"/>
    <xf numFmtId="2" fontId="0" fillId="0" borderId="0" xfId="0" applyNumberFormat="1"/>
    <xf numFmtId="0" fontId="2" fillId="0" borderId="0" xfId="0" applyFont="1"/>
    <xf numFmtId="8" fontId="0" fillId="0" borderId="0" xfId="0" applyNumberFormat="1"/>
    <xf numFmtId="0" fontId="10" fillId="0" borderId="0" xfId="0" pivotButton="1" applyFont="1"/>
  </cellXfs>
  <cellStyles count="3">
    <cellStyle name="Normal" xfId="0" builtinId="0"/>
    <cellStyle name="Normal 2" xfId="1" xr:uid="{9892B3A9-7847-4E47-A5CD-6A87ECEBD405}"/>
    <cellStyle name="Normal 3" xfId="2" xr:uid="{D5921746-3B78-1946-BD71-78D6C8091BE2}"/>
  </cellStyles>
  <dxfs count="1">
    <dxf>
      <font>
        <u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Purchasing Behaviour across</a:t>
            </a:r>
            <a:r>
              <a:rPr lang="en-US" baseline="0"/>
              <a:t> regions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East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 Spender</c:v>
              </c:pt>
              <c:pt idx="1">
                <c:v>Low Spender</c:v>
              </c:pt>
              <c:pt idx="2">
                <c:v>Moderate Spender</c:v>
              </c:pt>
            </c:strLit>
          </c:cat>
          <c:val>
            <c:numLit>
              <c:formatCode>General</c:formatCode>
              <c:ptCount val="3"/>
              <c:pt idx="0">
                <c:v>351791.62</c:v>
              </c:pt>
              <c:pt idx="1">
                <c:v>395581.56</c:v>
              </c:pt>
              <c:pt idx="2">
                <c:v>444266.31</c:v>
              </c:pt>
            </c:numLit>
          </c:val>
          <c:extLst>
            <c:ext xmlns:c16="http://schemas.microsoft.com/office/drawing/2014/chart" uri="{C3380CC4-5D6E-409C-BE32-E72D297353CC}">
              <c16:uniqueId val="{00000000-AFD5-1D4C-85C5-EC337F735392}"/>
            </c:ext>
          </c:extLst>
        </c:ser>
        <c:ser>
          <c:idx val="1"/>
          <c:order val="1"/>
          <c:tx>
            <c:v>North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 Spender</c:v>
              </c:pt>
              <c:pt idx="1">
                <c:v>Low Spender</c:v>
              </c:pt>
              <c:pt idx="2">
                <c:v>Moderate Spender</c:v>
              </c:pt>
            </c:strLit>
          </c:cat>
          <c:val>
            <c:numLit>
              <c:formatCode>General</c:formatCode>
              <c:ptCount val="3"/>
              <c:pt idx="0">
                <c:v>448884.38000000006</c:v>
              </c:pt>
              <c:pt idx="1">
                <c:v>349432.42</c:v>
              </c:pt>
              <c:pt idx="2">
                <c:v>404648.86</c:v>
              </c:pt>
            </c:numLit>
          </c:val>
          <c:extLst>
            <c:ext xmlns:c16="http://schemas.microsoft.com/office/drawing/2014/chart" uri="{C3380CC4-5D6E-409C-BE32-E72D297353CC}">
              <c16:uniqueId val="{00000001-AFD5-1D4C-85C5-EC337F735392}"/>
            </c:ext>
          </c:extLst>
        </c:ser>
        <c:ser>
          <c:idx val="2"/>
          <c:order val="2"/>
          <c:tx>
            <c:v>South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 Spender</c:v>
              </c:pt>
              <c:pt idx="1">
                <c:v>Low Spender</c:v>
              </c:pt>
              <c:pt idx="2">
                <c:v>Moderate Spender</c:v>
              </c:pt>
            </c:strLit>
          </c:cat>
          <c:val>
            <c:numLit>
              <c:formatCode>General</c:formatCode>
              <c:ptCount val="3"/>
              <c:pt idx="0">
                <c:v>560608.14</c:v>
              </c:pt>
              <c:pt idx="1">
                <c:v>282313.66000000003</c:v>
              </c:pt>
              <c:pt idx="2">
                <c:v>457976.47000000003</c:v>
              </c:pt>
            </c:numLit>
          </c:val>
          <c:extLst>
            <c:ext xmlns:c16="http://schemas.microsoft.com/office/drawing/2014/chart" uri="{C3380CC4-5D6E-409C-BE32-E72D297353CC}">
              <c16:uniqueId val="{00000002-AFD5-1D4C-85C5-EC337F735392}"/>
            </c:ext>
          </c:extLst>
        </c:ser>
        <c:ser>
          <c:idx val="3"/>
          <c:order val="3"/>
          <c:tx>
            <c:v>West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 Spender</c:v>
              </c:pt>
              <c:pt idx="1">
                <c:v>Low Spender</c:v>
              </c:pt>
              <c:pt idx="2">
                <c:v>Moderate Spender</c:v>
              </c:pt>
            </c:strLit>
          </c:cat>
          <c:val>
            <c:numLit>
              <c:formatCode>General</c:formatCode>
              <c:ptCount val="3"/>
              <c:pt idx="0">
                <c:v>427715.50999999989</c:v>
              </c:pt>
              <c:pt idx="1">
                <c:v>240658.22</c:v>
              </c:pt>
              <c:pt idx="2">
                <c:v>738887.2</c:v>
              </c:pt>
            </c:numLit>
          </c:val>
          <c:extLst>
            <c:ext xmlns:c16="http://schemas.microsoft.com/office/drawing/2014/chart" uri="{C3380CC4-5D6E-409C-BE32-E72D297353CC}">
              <c16:uniqueId val="{00000003-AFD5-1D4C-85C5-EC337F7353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40177152"/>
        <c:axId val="540177632"/>
      </c:barChart>
      <c:catAx>
        <c:axId val="54017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Purchasing Behaviour</a:t>
                </a:r>
                <a:r>
                  <a:rPr lang="en-US" sz="1200" b="1" baseline="0"/>
                  <a:t> 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77632"/>
        <c:crosses val="autoZero"/>
        <c:auto val="1"/>
        <c:lblAlgn val="ctr"/>
        <c:lblOffset val="100"/>
        <c:noMultiLvlLbl val="0"/>
      </c:catAx>
      <c:valAx>
        <c:axId val="540177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VS ENGAGEMENT VS INCOME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Female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Never Engaged</c:v>
              </c:pt>
              <c:pt idx="1">
                <c:v>Often Engaged</c:v>
              </c:pt>
              <c:pt idx="2">
                <c:v>Rarely Engaged</c:v>
              </c:pt>
            </c:strLit>
          </c:cat>
          <c:val>
            <c:numLit>
              <c:formatCode>General</c:formatCode>
              <c:ptCount val="3"/>
              <c:pt idx="0">
                <c:v>954491.84000000008</c:v>
              </c:pt>
              <c:pt idx="1">
                <c:v>1379630.1700000002</c:v>
              </c:pt>
              <c:pt idx="2">
                <c:v>550663.27</c:v>
              </c:pt>
            </c:numLit>
          </c:val>
          <c:extLst>
            <c:ext xmlns:c16="http://schemas.microsoft.com/office/drawing/2014/chart" uri="{C3380CC4-5D6E-409C-BE32-E72D297353CC}">
              <c16:uniqueId val="{00000000-C1A2-E74D-A4DD-813041292DD0}"/>
            </c:ext>
          </c:extLst>
        </c:ser>
        <c:ser>
          <c:idx val="1"/>
          <c:order val="1"/>
          <c:tx>
            <c:v>Male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Never Engaged</c:v>
              </c:pt>
              <c:pt idx="1">
                <c:v>Often Engaged</c:v>
              </c:pt>
              <c:pt idx="2">
                <c:v>Rarely Engaged</c:v>
              </c:pt>
            </c:strLit>
          </c:cat>
          <c:val>
            <c:numLit>
              <c:formatCode>General</c:formatCode>
              <c:ptCount val="3"/>
              <c:pt idx="0">
                <c:v>615276.91000000015</c:v>
              </c:pt>
              <c:pt idx="1">
                <c:v>1110521.68</c:v>
              </c:pt>
              <c:pt idx="2">
                <c:v>492180.47999999998</c:v>
              </c:pt>
            </c:numLit>
          </c:val>
          <c:extLst>
            <c:ext xmlns:c16="http://schemas.microsoft.com/office/drawing/2014/chart" uri="{C3380CC4-5D6E-409C-BE32-E72D297353CC}">
              <c16:uniqueId val="{00000001-C1A2-E74D-A4DD-813041292D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02713344"/>
        <c:axId val="1502714304"/>
      </c:barChart>
      <c:catAx>
        <c:axId val="150271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ENGAGEMENT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14304"/>
        <c:crosses val="autoZero"/>
        <c:auto val="1"/>
        <c:lblAlgn val="ctr"/>
        <c:lblOffset val="100"/>
        <c:noMultiLvlLbl val="0"/>
      </c:catAx>
      <c:valAx>
        <c:axId val="15027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1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482600</xdr:colOff>
      <xdr:row>40</xdr:row>
      <xdr:rowOff>111125</xdr:rowOff>
    </xdr:from>
    <xdr:to>
      <xdr:col>25</xdr:col>
      <xdr:colOff>1079500</xdr:colOff>
      <xdr:row>63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1E1ED6-4A5C-7049-A07F-C84B55F4D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66674</xdr:colOff>
      <xdr:row>19</xdr:row>
      <xdr:rowOff>174624</xdr:rowOff>
    </xdr:from>
    <xdr:to>
      <xdr:col>17</xdr:col>
      <xdr:colOff>393700</xdr:colOff>
      <xdr:row>36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E861F-1D5E-A24B-B752-8715C2978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330200</xdr:colOff>
      <xdr:row>14</xdr:row>
      <xdr:rowOff>177800</xdr:rowOff>
    </xdr:from>
    <xdr:to>
      <xdr:col>11</xdr:col>
      <xdr:colOff>25400</xdr:colOff>
      <xdr:row>27</xdr:row>
      <xdr:rowOff>27346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69F565-080F-7F0B-F9B3-6024E5BC6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5300" y="2844800"/>
          <a:ext cx="7772400" cy="23260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444500</xdr:colOff>
      <xdr:row>0</xdr:row>
      <xdr:rowOff>228600</xdr:rowOff>
    </xdr:from>
    <xdr:to>
      <xdr:col>17</xdr:col>
      <xdr:colOff>444500</xdr:colOff>
      <xdr:row>15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1141E-A5B9-FE4E-D859-94DAE4EC4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00" y="228600"/>
          <a:ext cx="6350000" cy="381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24</xdr:col>
      <xdr:colOff>152400</xdr:colOff>
      <xdr:row>35</xdr:row>
      <xdr:rowOff>218111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923E7-A9CA-6C6F-2929-A2FFBEDAB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42500" y="5168900"/>
          <a:ext cx="7772400" cy="40281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114300</xdr:rowOff>
    </xdr:from>
    <xdr:to>
      <xdr:col>8</xdr:col>
      <xdr:colOff>812800</xdr:colOff>
      <xdr:row>74</xdr:row>
      <xdr:rowOff>13996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8260C-C4A9-53E4-EB02-5ACC54B9D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114300"/>
          <a:ext cx="7162800" cy="13996696"/>
        </a:xfrm>
        <a:prstGeom prst="rect">
          <a:avLst/>
        </a:prstGeom>
      </xdr:spPr>
    </xdr:pic>
    <xdr:clientData/>
  </xdr:twoCellAnchor>
  <xdr:twoCellAnchor editAs="oneCell">
    <xdr:from>
      <xdr:col>8</xdr:col>
      <xdr:colOff>812800</xdr:colOff>
      <xdr:row>2</xdr:row>
      <xdr:rowOff>114300</xdr:rowOff>
    </xdr:from>
    <xdr:to>
      <xdr:col>20</xdr:col>
      <xdr:colOff>497840</xdr:colOff>
      <xdr:row>34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85C1CA-10C0-687A-95B2-5F7321392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6800" y="495300"/>
          <a:ext cx="9591040" cy="599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Group%20Presentation_market_segmentation_data-3.csv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kruch/Downloads/Group%20Presentation_market_segmentation_data%20(1)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kruch/Downloads/Group%20Presentation_market_segmentation_data%20(1).xlsx" TargetMode="External"/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1.646386921297" createdVersion="8" refreshedVersion="8" minRefreshableVersion="3" recordCount="100" xr:uid="{0A722852-826C-E741-AE09-8C5F4F985020}">
  <cacheSource type="worksheet">
    <worksheetSource ref="A1:H101" sheet="Demographics"/>
  </cacheSource>
  <cacheFields count="8">
    <cacheField name="Customer 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64"/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 count="2">
        <s v="Female"/>
        <s v="Male"/>
      </sharedItems>
    </cacheField>
    <cacheField name="Region" numFmtId="0">
      <sharedItems/>
    </cacheField>
    <cacheField name="Purchasing Behavior" numFmtId="0">
      <sharedItems/>
    </cacheField>
    <cacheField name="Engagement with Promotions" numFmtId="0">
      <sharedItems/>
    </cacheField>
    <cacheField name="Age_Groups" numFmtId="0">
      <sharedItems count="5">
        <s v="18-24"/>
        <s v="25-34"/>
        <s v="35-44"/>
        <s v="45-54"/>
        <s v="55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1.701060763888" createdVersion="8" refreshedVersion="8" minRefreshableVersion="3" recordCount="100" xr:uid="{B3AFBCA6-3C1D-C44D-9544-AAF417DCF87D}">
  <cacheSource type="worksheet">
    <worksheetSource ref="A1:H101" sheet="Behavioural"/>
  </cacheSource>
  <cacheFields count="8">
    <cacheField name="Customer 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64"/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/>
    </cacheField>
    <cacheField name="Region" numFmtId="0">
      <sharedItems/>
    </cacheField>
    <cacheField name="Purchasing Behavior" numFmtId="0">
      <sharedItems count="3">
        <s v="Low Spender"/>
        <s v="High Spender"/>
        <s v="Moderate Spender"/>
      </sharedItems>
    </cacheField>
    <cacheField name="Engagement with Promotions" numFmtId="0">
      <sharedItems/>
    </cacheField>
    <cacheField name="Income_Category" numFmtId="0">
      <sharedItems count="3">
        <s v="Medium Income"/>
        <s v="Low Income"/>
        <s v="High 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1.84131585648" createdVersion="8" refreshedVersion="8" minRefreshableVersion="3" recordCount="100" xr:uid="{52420E84-CEDD-4A46-A0C1-B4A822002A41}">
  <cacheSource type="worksheet">
    <worksheetSource ref="A1:M101" sheet="Group Presentation_market_segme" r:id="rId2"/>
  </cacheSource>
  <cacheFields count="13">
    <cacheField name="Customer 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64"/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/>
    </cacheField>
    <cacheField name="Region" numFmtId="0">
      <sharedItems/>
    </cacheField>
    <cacheField name="Purchasing Behavior" numFmtId="0">
      <sharedItems/>
    </cacheField>
    <cacheField name="Engagement with Promotions" numFmtId="0">
      <sharedItems count="3">
        <s v="Often Engaged"/>
        <s v="Never Engaged"/>
        <s v="Rarely Engaged"/>
      </sharedItems>
    </cacheField>
    <cacheField name="Purchasing_Behavior_Numeric" numFmtId="0">
      <sharedItems containsSemiMixedTypes="0" containsString="0" containsNumber="1" containsInteger="1" minValue="0" maxValue="2"/>
    </cacheField>
    <cacheField name="Engagement_Numeric" numFmtId="0">
      <sharedItems containsSemiMixedTypes="0" containsString="0" containsNumber="1" containsInteger="1" minValue="0" maxValue="2"/>
    </cacheField>
    <cacheField name="Cluster" numFmtId="0">
      <sharedItems containsSemiMixedTypes="0" containsString="0" containsNumber="1" containsInteger="1" minValue="0" maxValue="3"/>
    </cacheField>
    <cacheField name="%Ofen_Engaged" numFmtId="0">
      <sharedItems containsSemiMixedTypes="0" containsString="0" containsNumber="1" containsInteger="1" minValue="46" maxValue="46"/>
    </cacheField>
    <cacheField name="Customer_Segment" numFmtId="0">
      <sharedItems count="2">
        <s v="Moderately Engaged Prof."/>
        <s v="Other"/>
      </sharedItems>
    </cacheField>
    <cacheField name="Age_Group" numFmtId="0">
      <sharedItems count="5">
        <s v="55+"/>
        <s v="45-54"/>
        <s v="25-34"/>
        <s v="35-44"/>
        <s v="18-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1.868577893518" createdVersion="8" refreshedVersion="8" minRefreshableVersion="3" recordCount="100" xr:uid="{6D0A8F94-0142-E649-B796-04B0A58F59F6}">
  <cacheSource type="worksheet">
    <worksheetSource ref="A1:O101" sheet="Group Presentation_market_segme"/>
  </cacheSource>
  <cacheFields count="16">
    <cacheField name="Customer 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64"/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/>
    </cacheField>
    <cacheField name="Region" numFmtId="0">
      <sharedItems/>
    </cacheField>
    <cacheField name="Purchasing Behavior" numFmtId="0">
      <sharedItems/>
    </cacheField>
    <cacheField name="Engagement with Promotions" numFmtId="0">
      <sharedItems/>
    </cacheField>
    <cacheField name="Purchasing_Behavior_Numeric" numFmtId="0">
      <sharedItems containsSemiMixedTypes="0" containsString="0" containsNumber="1" containsInteger="1" minValue="0" maxValue="2"/>
    </cacheField>
    <cacheField name="Engagement_Numeric" numFmtId="0">
      <sharedItems containsSemiMixedTypes="0" containsString="0" containsNumber="1" containsInteger="1" minValue="0" maxValue="2"/>
    </cacheField>
    <cacheField name="Cluster" numFmtId="0">
      <sharedItems containsSemiMixedTypes="0" containsString="0" containsNumber="1" containsInteger="1" minValue="0" maxValue="3"/>
    </cacheField>
    <cacheField name="%Ofen_Engaged" numFmtId="0">
      <sharedItems containsSemiMixedTypes="0" containsString="0" containsNumber="1" containsInteger="1" minValue="46" maxValue="46"/>
    </cacheField>
    <cacheField name="Customer_Segment" numFmtId="0">
      <sharedItems count="5">
        <s v="Moderately Engaged Prof."/>
        <s v="Other"/>
        <s v="Low-Income Retirees"/>
        <s v="Young Professionals"/>
        <s v="Wealthy Seniors"/>
      </sharedItems>
    </cacheField>
    <cacheField name="Age_Group" numFmtId="0">
      <sharedItems/>
    </cacheField>
    <cacheField name="Combined_Score" numFmtId="0">
      <sharedItems containsSemiMixedTypes="0" containsString="0" containsNumber="1" containsInteger="1" minValue="0" maxValue="4"/>
    </cacheField>
    <cacheField name="Segment_Performance" numFmtId="0">
      <sharedItems containsMixedTypes="1" containsNumber="1" minValue="42046.358571428573" maxValue="54385.223333333328"/>
    </cacheField>
    <cacheField name="Revenue_Potential" numFmtId="0" formula="Income*'Customer I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31.897953472224" createdVersion="8" refreshedVersion="8" minRefreshableVersion="3" recordCount="100" xr:uid="{4B926612-08E7-A14A-9D4A-0DA721C99CF1}">
  <cacheSource type="worksheet">
    <worksheetSource ref="A1:O101" sheet="Geographic"/>
  </cacheSource>
  <cacheFields count="15">
    <cacheField name="Customer 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64"/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Purchasing Behavior" numFmtId="0">
      <sharedItems/>
    </cacheField>
    <cacheField name="Engagement with Promotions" numFmtId="0">
      <sharedItems/>
    </cacheField>
    <cacheField name="Purchasing_Behavior_Numeric" numFmtId="0">
      <sharedItems containsSemiMixedTypes="0" containsString="0" containsNumber="1" containsInteger="1" minValue="0" maxValue="2" count="3">
        <n v="0"/>
        <n v="2"/>
        <n v="1"/>
      </sharedItems>
    </cacheField>
    <cacheField name="Engagement_Numeric" numFmtId="0">
      <sharedItems containsSemiMixedTypes="0" containsString="0" containsNumber="1" containsInteger="1" minValue="0" maxValue="2"/>
    </cacheField>
    <cacheField name="Cluster" numFmtId="0">
      <sharedItems containsSemiMixedTypes="0" containsString="0" containsNumber="1" containsInteger="1" minValue="0" maxValue="3" count="4">
        <n v="0"/>
        <n v="3"/>
        <n v="2"/>
        <n v="1"/>
      </sharedItems>
    </cacheField>
    <cacheField name="%Ofen_Engaged" numFmtId="0">
      <sharedItems containsSemiMixedTypes="0" containsString="0" containsNumber="1" containsInteger="1" minValue="46" maxValue="46"/>
    </cacheField>
    <cacheField name="Customer_Segment" numFmtId="0">
      <sharedItems count="5">
        <s v="Moderately Engaged Prof."/>
        <s v="Other"/>
        <s v="Low-Income Retirees"/>
        <s v="Young Professionals"/>
        <s v="Wealthy Seniors"/>
      </sharedItems>
    </cacheField>
    <cacheField name="Age_Group" numFmtId="0">
      <sharedItems/>
    </cacheField>
    <cacheField name="Combined_Score" numFmtId="0">
      <sharedItems containsSemiMixedTypes="0" containsString="0" containsNumber="1" containsInteger="1" minValue="0" maxValue="4"/>
    </cacheField>
    <cacheField name="Segment_Performance" numFmtId="0">
      <sharedItems containsMixedTypes="1" containsNumber="1" minValue="42046.358571428573" maxValue="54385.2233333333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 Patel" refreshedDate="45625.636857986108" createdVersion="8" refreshedVersion="8" minRefreshableVersion="3" recordCount="100" xr:uid="{FCA75C75-2B0C-1A41-8B0F-9D0C57A08E29}">
  <cacheSource type="worksheet">
    <worksheetSource ref="B1:D101" sheet="Sheet14" r:id="rId2"/>
  </cacheSource>
  <cacheFields count="3">
    <cacheField name="Income" numFmtId="0">
      <sharedItems containsSemiMixedTypes="0" containsString="0" containsNumber="1" minValue="20901.330000000002" maxValue="94154.95"/>
    </cacheField>
    <cacheField name="Region" numFmtId="0">
      <sharedItems count="4">
        <s v="West"/>
        <s v="East"/>
        <s v="North"/>
        <s v="South"/>
      </sharedItems>
    </cacheField>
    <cacheField name="Purchasing Behavior" numFmtId="0">
      <sharedItems count="3">
        <s v="Moderate Spender"/>
        <s v="High Spender"/>
        <s v="Low Spen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 Patel" refreshedDate="45625.640664930557" createdVersion="8" refreshedVersion="8" minRefreshableVersion="3" recordCount="100" xr:uid="{D59CAC7D-ED84-414C-850C-3CCEF588DCC9}">
  <cacheSource type="worksheet">
    <worksheetSource ref="B2:D102" sheet="Sheet19" r:id="rId2"/>
  </cacheSource>
  <cacheFields count="3">
    <cacheField name="Engagement with Promotions" numFmtId="0">
      <sharedItems count="3">
        <s v="Never Engaged"/>
        <s v="Rarely Engaged"/>
        <s v="Often Engaged"/>
      </sharedItems>
    </cacheField>
    <cacheField name="Income" numFmtId="0">
      <sharedItems containsSemiMixedTypes="0" containsString="0" containsNumber="1" minValue="20901.330000000002" maxValue="94154.95"/>
    </cacheField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56"/>
    <n v="59544.58"/>
    <x v="0"/>
    <s v="West"/>
    <s v="Low Spender"/>
    <s v="Often Engaged"/>
    <x v="0"/>
  </r>
  <r>
    <n v="2"/>
    <n v="46"/>
    <n v="36399.19"/>
    <x v="0"/>
    <s v="East"/>
    <s v="High Spender"/>
    <s v="Often Engaged"/>
    <x v="0"/>
  </r>
  <r>
    <n v="3"/>
    <n v="32"/>
    <n v="57140.639999999999"/>
    <x v="0"/>
    <s v="West"/>
    <s v="Moderate Spender"/>
    <s v="Never Engaged"/>
    <x v="0"/>
  </r>
  <r>
    <n v="4"/>
    <n v="60"/>
    <n v="69554.92"/>
    <x v="1"/>
    <s v="East"/>
    <s v="Low Spender"/>
    <s v="Rarely Engaged"/>
    <x v="0"/>
  </r>
  <r>
    <n v="5"/>
    <n v="25"/>
    <n v="53173.81"/>
    <x v="0"/>
    <s v="West"/>
    <s v="Moderate Spender"/>
    <s v="Often Engaged"/>
    <x v="0"/>
  </r>
  <r>
    <n v="6"/>
    <n v="38"/>
    <n v="58955.67"/>
    <x v="0"/>
    <s v="North"/>
    <s v="High Spender"/>
    <s v="Never Engaged"/>
    <x v="0"/>
  </r>
  <r>
    <n v="7"/>
    <n v="56"/>
    <n v="36554.97"/>
    <x v="1"/>
    <s v="West"/>
    <s v="Moderate Spender"/>
    <s v="Rarely Engaged"/>
    <x v="0"/>
  </r>
  <r>
    <n v="8"/>
    <n v="36"/>
    <n v="48320.18"/>
    <x v="0"/>
    <s v="North"/>
    <s v="Moderate Spender"/>
    <s v="Never Engaged"/>
    <x v="0"/>
  </r>
  <r>
    <n v="9"/>
    <n v="40"/>
    <n v="72034.12"/>
    <x v="1"/>
    <s v="West"/>
    <s v="Moderate Spender"/>
    <s v="Often Engaged"/>
    <x v="0"/>
  </r>
  <r>
    <n v="10"/>
    <n v="28"/>
    <n v="33141.519999999997"/>
    <x v="0"/>
    <s v="West"/>
    <s v="Moderate Spender"/>
    <s v="Often Engaged"/>
    <x v="0"/>
  </r>
  <r>
    <n v="11"/>
    <n v="28"/>
    <n v="64250.080000000002"/>
    <x v="0"/>
    <s v="South"/>
    <s v="High Spender"/>
    <s v="Often Engaged"/>
    <x v="0"/>
  </r>
  <r>
    <n v="12"/>
    <n v="41"/>
    <n v="75897.75"/>
    <x v="0"/>
    <s v="North"/>
    <s v="Moderate Spender"/>
    <s v="Never Engaged"/>
    <x v="0"/>
  </r>
  <r>
    <n v="13"/>
    <n v="53"/>
    <n v="56868.28"/>
    <x v="1"/>
    <s v="South"/>
    <s v="Moderate Spender"/>
    <s v="Never Engaged"/>
    <x v="0"/>
  </r>
  <r>
    <n v="14"/>
    <n v="57"/>
    <n v="24735.69"/>
    <x v="1"/>
    <s v="North"/>
    <s v="Low Spender"/>
    <s v="Often Engaged"/>
    <x v="0"/>
  </r>
  <r>
    <n v="15"/>
    <n v="41"/>
    <n v="54902.68"/>
    <x v="0"/>
    <s v="South"/>
    <s v="Moderate Spender"/>
    <s v="Never Engaged"/>
    <x v="0"/>
  </r>
  <r>
    <n v="16"/>
    <n v="20"/>
    <n v="48783.22"/>
    <x v="1"/>
    <s v="East"/>
    <s v="Low Spender"/>
    <s v="Often Engaged"/>
    <x v="0"/>
  </r>
  <r>
    <n v="17"/>
    <n v="39"/>
    <n v="57016.92"/>
    <x v="1"/>
    <s v="West"/>
    <s v="High Spender"/>
    <s v="Often Engaged"/>
    <x v="0"/>
  </r>
  <r>
    <n v="18"/>
    <n v="19"/>
    <n v="61041.84"/>
    <x v="1"/>
    <s v="North"/>
    <s v="High Spender"/>
    <s v="Rarely Engaged"/>
    <x v="0"/>
  </r>
  <r>
    <n v="19"/>
    <n v="41"/>
    <n v="38304.47"/>
    <x v="1"/>
    <s v="North"/>
    <s v="High Spender"/>
    <s v="Never Engaged"/>
    <x v="0"/>
  </r>
  <r>
    <n v="20"/>
    <n v="61"/>
    <n v="37341.550000000003"/>
    <x v="1"/>
    <s v="West"/>
    <s v="High Spender"/>
    <s v="Often Engaged"/>
    <x v="0"/>
  </r>
  <r>
    <n v="21"/>
    <n v="47"/>
    <n v="47741.99"/>
    <x v="1"/>
    <s v="North"/>
    <s v="Low Spender"/>
    <s v="Often Engaged"/>
    <x v="0"/>
  </r>
  <r>
    <n v="22"/>
    <n v="55"/>
    <n v="35516.629999999997"/>
    <x v="0"/>
    <s v="North"/>
    <s v="Moderate Spender"/>
    <s v="Never Engaged"/>
    <x v="0"/>
  </r>
  <r>
    <n v="23"/>
    <n v="19"/>
    <n v="52257.34"/>
    <x v="0"/>
    <s v="South"/>
    <s v="High Spender"/>
    <s v="Rarely Engaged"/>
    <x v="0"/>
  </r>
  <r>
    <n v="24"/>
    <n v="38"/>
    <n v="48298.68"/>
    <x v="1"/>
    <s v="North"/>
    <s v="Moderate Spender"/>
    <s v="Rarely Engaged"/>
    <x v="0"/>
  </r>
  <r>
    <n v="25"/>
    <n v="50"/>
    <n v="89502.92"/>
    <x v="0"/>
    <s v="East"/>
    <s v="Low Spender"/>
    <s v="Often Engaged"/>
    <x v="1"/>
  </r>
  <r>
    <n v="26"/>
    <n v="29"/>
    <n v="34623.64"/>
    <x v="0"/>
    <s v="East"/>
    <s v="Low Spender"/>
    <s v="Never Engaged"/>
    <x v="1"/>
  </r>
  <r>
    <n v="27"/>
    <n v="39"/>
    <n v="38269.279999999999"/>
    <x v="0"/>
    <s v="West"/>
    <s v="Low Spender"/>
    <s v="Rarely Engaged"/>
    <x v="1"/>
  </r>
  <r>
    <n v="28"/>
    <n v="61"/>
    <n v="56359.15"/>
    <x v="0"/>
    <s v="North"/>
    <s v="High Spender"/>
    <s v="Never Engaged"/>
    <x v="1"/>
  </r>
  <r>
    <n v="29"/>
    <n v="42"/>
    <n v="63090.58"/>
    <x v="1"/>
    <s v="West"/>
    <s v="Moderate Spender"/>
    <s v="Never Engaged"/>
    <x v="1"/>
  </r>
  <r>
    <n v="30"/>
    <n v="44"/>
    <n v="84308.39"/>
    <x v="0"/>
    <s v="East"/>
    <s v="Moderate Spender"/>
    <s v="Often Engaged"/>
    <x v="1"/>
  </r>
  <r>
    <n v="31"/>
    <n v="59"/>
    <n v="74343.81"/>
    <x v="0"/>
    <s v="North"/>
    <s v="Moderate Spender"/>
    <s v="Rarely Engaged"/>
    <x v="1"/>
  </r>
  <r>
    <n v="32"/>
    <n v="45"/>
    <n v="62356"/>
    <x v="1"/>
    <s v="North"/>
    <s v="Low Spender"/>
    <s v="Often Engaged"/>
    <x v="1"/>
  </r>
  <r>
    <n v="33"/>
    <n v="33"/>
    <n v="54395.89"/>
    <x v="1"/>
    <s v="West"/>
    <s v="High Spender"/>
    <s v="Rarely Engaged"/>
    <x v="1"/>
  </r>
  <r>
    <n v="34"/>
    <n v="32"/>
    <n v="63449.46"/>
    <x v="0"/>
    <s v="East"/>
    <s v="Low Spender"/>
    <s v="Rarely Engaged"/>
    <x v="1"/>
  </r>
  <r>
    <n v="35"/>
    <n v="64"/>
    <n v="40845.17"/>
    <x v="0"/>
    <s v="North"/>
    <s v="Low Spender"/>
    <s v="Rarely Engaged"/>
    <x v="2"/>
  </r>
  <r>
    <n v="36"/>
    <n v="61"/>
    <n v="45257.51"/>
    <x v="0"/>
    <s v="West"/>
    <s v="Moderate Spender"/>
    <s v="Rarely Engaged"/>
    <x v="2"/>
  </r>
  <r>
    <n v="37"/>
    <n v="20"/>
    <n v="27763.64"/>
    <x v="0"/>
    <s v="East"/>
    <s v="Low Spender"/>
    <s v="Rarely Engaged"/>
    <x v="2"/>
  </r>
  <r>
    <n v="38"/>
    <n v="54"/>
    <n v="46567.29"/>
    <x v="0"/>
    <s v="West"/>
    <s v="Moderate Spender"/>
    <s v="Never Engaged"/>
    <x v="2"/>
  </r>
  <r>
    <n v="39"/>
    <n v="24"/>
    <n v="64439.62"/>
    <x v="0"/>
    <s v="South"/>
    <s v="High Spender"/>
    <s v="Often Engaged"/>
    <x v="2"/>
  </r>
  <r>
    <n v="40"/>
    <n v="38"/>
    <n v="46854.61"/>
    <x v="1"/>
    <s v="North"/>
    <s v="Moderate Spender"/>
    <s v="Never Engaged"/>
    <x v="2"/>
  </r>
  <r>
    <n v="41"/>
    <n v="26"/>
    <n v="38389.360000000001"/>
    <x v="0"/>
    <s v="South"/>
    <s v="High Spender"/>
    <s v="Rarely Engaged"/>
    <x v="2"/>
  </r>
  <r>
    <n v="42"/>
    <n v="56"/>
    <n v="44603.33"/>
    <x v="0"/>
    <s v="East"/>
    <s v="Moderate Spender"/>
    <s v="Often Engaged"/>
    <x v="2"/>
  </r>
  <r>
    <n v="43"/>
    <n v="35"/>
    <n v="60861.25"/>
    <x v="1"/>
    <s v="South"/>
    <s v="Low Spender"/>
    <s v="Rarely Engaged"/>
    <x v="2"/>
  </r>
  <r>
    <n v="44"/>
    <n v="21"/>
    <n v="46163.53"/>
    <x v="1"/>
    <s v="South"/>
    <s v="Low Spender"/>
    <s v="Often Engaged"/>
    <x v="2"/>
  </r>
  <r>
    <n v="45"/>
    <n v="42"/>
    <n v="62748.82"/>
    <x v="1"/>
    <s v="East"/>
    <s v="High Spender"/>
    <s v="Never Engaged"/>
    <x v="3"/>
  </r>
  <r>
    <n v="46"/>
    <n v="31"/>
    <n v="30330.14"/>
    <x v="1"/>
    <s v="West"/>
    <s v="High Spender"/>
    <s v="Often Engaged"/>
    <x v="3"/>
  </r>
  <r>
    <n v="47"/>
    <n v="26"/>
    <n v="36945.43"/>
    <x v="0"/>
    <s v="South"/>
    <s v="High Spender"/>
    <s v="Often Engaged"/>
    <x v="3"/>
  </r>
  <r>
    <n v="48"/>
    <n v="43"/>
    <n v="42400.35"/>
    <x v="0"/>
    <s v="West"/>
    <s v="Moderate Spender"/>
    <s v="Often Engaged"/>
    <x v="3"/>
  </r>
  <r>
    <n v="49"/>
    <n v="19"/>
    <n v="30350.74"/>
    <x v="0"/>
    <s v="South"/>
    <s v="Moderate Spender"/>
    <s v="Often Engaged"/>
    <x v="3"/>
  </r>
  <r>
    <n v="50"/>
    <n v="37"/>
    <n v="94154.95"/>
    <x v="0"/>
    <s v="West"/>
    <s v="High Spender"/>
    <s v="Often Engaged"/>
    <x v="3"/>
  </r>
  <r>
    <n v="51"/>
    <n v="45"/>
    <n v="33556.01"/>
    <x v="0"/>
    <s v="East"/>
    <s v="Low Spender"/>
    <s v="Rarely Engaged"/>
    <x v="3"/>
  </r>
  <r>
    <n v="52"/>
    <n v="64"/>
    <n v="63723.26"/>
    <x v="0"/>
    <s v="South"/>
    <s v="Moderate Spender"/>
    <s v="Often Engaged"/>
    <x v="3"/>
  </r>
  <r>
    <n v="53"/>
    <n v="24"/>
    <n v="40009.089999999997"/>
    <x v="1"/>
    <s v="East"/>
    <s v="Moderate Spender"/>
    <s v="Often Engaged"/>
    <x v="3"/>
  </r>
  <r>
    <n v="54"/>
    <n v="61"/>
    <n v="42293.19"/>
    <x v="0"/>
    <s v="South"/>
    <s v="Moderate Spender"/>
    <s v="Never Engaged"/>
    <x v="3"/>
  </r>
  <r>
    <n v="55"/>
    <n v="25"/>
    <n v="54519.839999999997"/>
    <x v="1"/>
    <s v="East"/>
    <s v="High Spender"/>
    <s v="Often Engaged"/>
    <x v="4"/>
  </r>
  <r>
    <n v="56"/>
    <n v="64"/>
    <n v="28122.25"/>
    <x v="1"/>
    <s v="East"/>
    <s v="High Spender"/>
    <s v="Never Engaged"/>
    <x v="4"/>
  </r>
  <r>
    <n v="57"/>
    <n v="52"/>
    <n v="40058.93"/>
    <x v="0"/>
    <s v="South"/>
    <s v="High Spender"/>
    <s v="Rarely Engaged"/>
    <x v="4"/>
  </r>
  <r>
    <n v="58"/>
    <n v="31"/>
    <n v="47802.91"/>
    <x v="1"/>
    <s v="South"/>
    <s v="High Spender"/>
    <s v="Often Engaged"/>
    <x v="4"/>
  </r>
  <r>
    <n v="59"/>
    <n v="34"/>
    <n v="37309.74"/>
    <x v="0"/>
    <s v="South"/>
    <s v="High Spender"/>
    <s v="Never Engaged"/>
    <x v="4"/>
  </r>
  <r>
    <n v="60"/>
    <n v="53"/>
    <n v="37662.660000000003"/>
    <x v="1"/>
    <s v="North"/>
    <s v="Low Spender"/>
    <s v="Never Engaged"/>
    <x v="4"/>
  </r>
  <r>
    <n v="61"/>
    <n v="57"/>
    <n v="66300.91"/>
    <x v="0"/>
    <s v="West"/>
    <s v="Low Spender"/>
    <s v="Rarely Engaged"/>
    <x v="4"/>
  </r>
  <r>
    <n v="62"/>
    <n v="21"/>
    <n v="65074.8"/>
    <x v="1"/>
    <s v="North"/>
    <s v="High Spender"/>
    <s v="Often Engaged"/>
    <x v="4"/>
  </r>
  <r>
    <n v="63"/>
    <n v="19"/>
    <n v="43373.51"/>
    <x v="0"/>
    <s v="North"/>
    <s v="Moderate Spender"/>
    <s v="Often Engaged"/>
    <x v="4"/>
  </r>
  <r>
    <n v="64"/>
    <n v="23"/>
    <n v="48737.52"/>
    <x v="0"/>
    <s v="East"/>
    <s v="High Spender"/>
    <s v="Never Engaged"/>
    <x v="4"/>
  </r>
  <r>
    <n v="65"/>
    <n v="59"/>
    <n v="68555.240000000005"/>
    <x v="0"/>
    <s v="South"/>
    <s v="Low Spender"/>
    <s v="Often Engaged"/>
    <x v="4"/>
  </r>
  <r>
    <n v="66"/>
    <n v="21"/>
    <n v="28602.82"/>
    <x v="0"/>
    <s v="West"/>
    <s v="Low Spender"/>
    <s v="Never Engaged"/>
    <x v="4"/>
  </r>
  <r>
    <n v="67"/>
    <n v="46"/>
    <n v="55070.34"/>
    <x v="0"/>
    <s v="East"/>
    <s v="Moderate Spender"/>
    <s v="Often Engaged"/>
    <x v="4"/>
  </r>
  <r>
    <n v="68"/>
    <n v="35"/>
    <n v="79618.570000000007"/>
    <x v="1"/>
    <s v="North"/>
    <s v="Low Spender"/>
    <s v="Never Engaged"/>
    <x v="4"/>
  </r>
  <r>
    <n v="69"/>
    <n v="43"/>
    <n v="79475.520000000004"/>
    <x v="1"/>
    <s v="South"/>
    <s v="High Spender"/>
    <s v="Often Engaged"/>
    <x v="4"/>
  </r>
  <r>
    <n v="70"/>
    <n v="61"/>
    <n v="20901.330000000002"/>
    <x v="1"/>
    <s v="East"/>
    <s v="Moderate Spender"/>
    <s v="Rarely Engaged"/>
    <x v="4"/>
  </r>
  <r>
    <n v="71"/>
    <n v="51"/>
    <n v="38560.6"/>
    <x v="0"/>
    <s v="South"/>
    <s v="High Spender"/>
    <s v="Often Engaged"/>
    <x v="4"/>
  </r>
  <r>
    <n v="72"/>
    <n v="27"/>
    <n v="52529.89"/>
    <x v="1"/>
    <s v="East"/>
    <s v="High Spender"/>
    <s v="Often Engaged"/>
    <x v="4"/>
  </r>
  <r>
    <n v="73"/>
    <n v="53"/>
    <n v="30171.85"/>
    <x v="0"/>
    <s v="South"/>
    <s v="Moderate Spender"/>
    <s v="Rarely Engaged"/>
    <x v="4"/>
  </r>
  <r>
    <n v="74"/>
    <n v="31"/>
    <n v="39976.300000000003"/>
    <x v="0"/>
    <s v="North"/>
    <s v="High Spender"/>
    <s v="Often Engaged"/>
    <x v="4"/>
  </r>
  <r>
    <n v="75"/>
    <n v="48"/>
    <n v="47940.63"/>
    <x v="1"/>
    <s v="West"/>
    <s v="Low Spender"/>
    <s v="Rarely Engaged"/>
    <x v="4"/>
  </r>
  <r>
    <n v="76"/>
    <n v="32"/>
    <n v="71019.820000000007"/>
    <x v="1"/>
    <s v="North"/>
    <s v="High Spender"/>
    <s v="Often Engaged"/>
    <x v="4"/>
  </r>
  <r>
    <n v="77"/>
    <n v="25"/>
    <n v="49318.96"/>
    <x v="0"/>
    <s v="West"/>
    <s v="Moderate Spender"/>
    <s v="Never Engaged"/>
    <x v="4"/>
  </r>
  <r>
    <n v="78"/>
    <n v="31"/>
    <n v="53254.05"/>
    <x v="1"/>
    <s v="South"/>
    <s v="Moderate Spender"/>
    <s v="Never Engaged"/>
    <x v="4"/>
  </r>
  <r>
    <n v="79"/>
    <n v="40"/>
    <n v="57686.36"/>
    <x v="0"/>
    <s v="East"/>
    <s v="Moderate Spender"/>
    <s v="Often Engaged"/>
    <x v="4"/>
  </r>
  <r>
    <n v="80"/>
    <n v="57"/>
    <n v="58152.33"/>
    <x v="0"/>
    <s v="North"/>
    <s v="High Spender"/>
    <s v="Often Engaged"/>
    <x v="4"/>
  </r>
  <r>
    <n v="81"/>
    <n v="38"/>
    <n v="50421.49"/>
    <x v="0"/>
    <s v="West"/>
    <s v="Moderate Spender"/>
    <s v="Often Engaged"/>
    <x v="4"/>
  </r>
  <r>
    <n v="82"/>
    <n v="33"/>
    <n v="32043.69"/>
    <x v="0"/>
    <s v="North"/>
    <s v="Moderate Spender"/>
    <s v="Never Engaged"/>
    <x v="4"/>
  </r>
  <r>
    <n v="83"/>
    <n v="62"/>
    <n v="61845.09"/>
    <x v="0"/>
    <s v="West"/>
    <s v="High Spender"/>
    <s v="Often Engaged"/>
    <x v="4"/>
  </r>
  <r>
    <n v="84"/>
    <n v="35"/>
    <n v="56472.34"/>
    <x v="1"/>
    <s v="North"/>
    <s v="Low Spender"/>
    <s v="Never Engaged"/>
    <x v="4"/>
  </r>
  <r>
    <n v="85"/>
    <n v="64"/>
    <n v="33548.720000000001"/>
    <x v="1"/>
    <s v="West"/>
    <s v="High Spender"/>
    <s v="Rarely Engaged"/>
    <x v="4"/>
  </r>
  <r>
    <n v="86"/>
    <n v="41"/>
    <n v="39765.480000000003"/>
    <x v="0"/>
    <s v="West"/>
    <s v="Moderate Spender"/>
    <s v="Never Engaged"/>
    <x v="4"/>
  </r>
  <r>
    <n v="87"/>
    <n v="43"/>
    <n v="63312.67"/>
    <x v="0"/>
    <s v="South"/>
    <s v="Moderate Spender"/>
    <s v="Never Engaged"/>
    <x v="4"/>
  </r>
  <r>
    <n v="88"/>
    <n v="42"/>
    <n v="59082.25"/>
    <x v="1"/>
    <s v="West"/>
    <s v="High Spender"/>
    <s v="Rarely Engaged"/>
    <x v="4"/>
  </r>
  <r>
    <n v="89"/>
    <n v="62"/>
    <n v="39195.53"/>
    <x v="1"/>
    <s v="South"/>
    <s v="Low Spender"/>
    <s v="Never Engaged"/>
    <x v="4"/>
  </r>
  <r>
    <n v="90"/>
    <n v="58"/>
    <n v="45950.99"/>
    <x v="0"/>
    <s v="West"/>
    <s v="Moderate Spender"/>
    <s v="Often Engaged"/>
    <x v="4"/>
  </r>
  <r>
    <n v="91"/>
    <n v="46"/>
    <n v="47848.07"/>
    <x v="1"/>
    <s v="East"/>
    <s v="Moderate Spender"/>
    <s v="Often Engaged"/>
    <x v="4"/>
  </r>
  <r>
    <n v="92"/>
    <n v="32"/>
    <n v="59255.06"/>
    <x v="0"/>
    <s v="East"/>
    <s v="Moderate Spender"/>
    <s v="Never Engaged"/>
    <x v="4"/>
  </r>
  <r>
    <n v="93"/>
    <n v="62"/>
    <n v="68734.11"/>
    <x v="1"/>
    <s v="East"/>
    <s v="High Spender"/>
    <s v="Often Engaged"/>
    <x v="4"/>
  </r>
  <r>
    <n v="94"/>
    <n v="18"/>
    <n v="50984.74"/>
    <x v="0"/>
    <s v="West"/>
    <s v="Moderate Spender"/>
    <s v="Never Engaged"/>
    <x v="4"/>
  </r>
  <r>
    <n v="95"/>
    <n v="42"/>
    <n v="67538.11"/>
    <x v="1"/>
    <s v="South"/>
    <s v="Low Spender"/>
    <s v="Often Engaged"/>
    <x v="4"/>
  </r>
  <r>
    <n v="96"/>
    <n v="24"/>
    <n v="63099.75"/>
    <x v="0"/>
    <s v="South"/>
    <s v="Moderate Spender"/>
    <s v="Often Engaged"/>
    <x v="4"/>
  </r>
  <r>
    <n v="97"/>
    <n v="26"/>
    <n v="53084.75"/>
    <x v="1"/>
    <s v="West"/>
    <s v="Moderate Spender"/>
    <s v="Never Engaged"/>
    <x v="4"/>
  </r>
  <r>
    <n v="98"/>
    <n v="41"/>
    <n v="28347.75"/>
    <x v="1"/>
    <s v="East"/>
    <s v="Low Spender"/>
    <s v="Often Engaged"/>
    <x v="4"/>
  </r>
  <r>
    <n v="99"/>
    <n v="18"/>
    <n v="34584.339999999997"/>
    <x v="0"/>
    <s v="East"/>
    <s v="Moderate Spender"/>
    <s v="Never Engaged"/>
    <x v="4"/>
  </r>
  <r>
    <n v="100"/>
    <n v="61"/>
    <n v="61118.61"/>
    <x v="1"/>
    <s v="South"/>
    <s v="High Spender"/>
    <s v="Often Engaged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56"/>
    <n v="59544.58"/>
    <s v="Female"/>
    <s v="West"/>
    <x v="0"/>
    <s v="Often Engaged"/>
    <x v="0"/>
  </r>
  <r>
    <n v="2"/>
    <n v="46"/>
    <n v="36399.19"/>
    <s v="Female"/>
    <s v="East"/>
    <x v="1"/>
    <s v="Often Engaged"/>
    <x v="1"/>
  </r>
  <r>
    <n v="3"/>
    <n v="32"/>
    <n v="57140.639999999999"/>
    <s v="Female"/>
    <s v="West"/>
    <x v="2"/>
    <s v="Never Engaged"/>
    <x v="0"/>
  </r>
  <r>
    <n v="4"/>
    <n v="60"/>
    <n v="69554.92"/>
    <s v="Male"/>
    <s v="East"/>
    <x v="0"/>
    <s v="Rarely Engaged"/>
    <x v="2"/>
  </r>
  <r>
    <n v="5"/>
    <n v="25"/>
    <n v="53173.81"/>
    <s v="Female"/>
    <s v="West"/>
    <x v="2"/>
    <s v="Often Engaged"/>
    <x v="0"/>
  </r>
  <r>
    <n v="6"/>
    <n v="38"/>
    <n v="58955.67"/>
    <s v="Female"/>
    <s v="North"/>
    <x v="1"/>
    <s v="Never Engaged"/>
    <x v="0"/>
  </r>
  <r>
    <n v="7"/>
    <n v="56"/>
    <n v="36554.97"/>
    <s v="Male"/>
    <s v="West"/>
    <x v="2"/>
    <s v="Rarely Engaged"/>
    <x v="1"/>
  </r>
  <r>
    <n v="8"/>
    <n v="36"/>
    <n v="48320.18"/>
    <s v="Female"/>
    <s v="North"/>
    <x v="2"/>
    <s v="Never Engaged"/>
    <x v="0"/>
  </r>
  <r>
    <n v="9"/>
    <n v="40"/>
    <n v="72034.12"/>
    <s v="Male"/>
    <s v="West"/>
    <x v="2"/>
    <s v="Often Engaged"/>
    <x v="2"/>
  </r>
  <r>
    <n v="10"/>
    <n v="28"/>
    <n v="33141.519999999997"/>
    <s v="Female"/>
    <s v="West"/>
    <x v="2"/>
    <s v="Often Engaged"/>
    <x v="1"/>
  </r>
  <r>
    <n v="11"/>
    <n v="28"/>
    <n v="64250.080000000002"/>
    <s v="Female"/>
    <s v="South"/>
    <x v="1"/>
    <s v="Often Engaged"/>
    <x v="2"/>
  </r>
  <r>
    <n v="12"/>
    <n v="41"/>
    <n v="75897.75"/>
    <s v="Female"/>
    <s v="North"/>
    <x v="2"/>
    <s v="Never Engaged"/>
    <x v="2"/>
  </r>
  <r>
    <n v="13"/>
    <n v="53"/>
    <n v="56868.28"/>
    <s v="Male"/>
    <s v="South"/>
    <x v="2"/>
    <s v="Never Engaged"/>
    <x v="0"/>
  </r>
  <r>
    <n v="14"/>
    <n v="57"/>
    <n v="24735.69"/>
    <s v="Male"/>
    <s v="North"/>
    <x v="0"/>
    <s v="Often Engaged"/>
    <x v="1"/>
  </r>
  <r>
    <n v="15"/>
    <n v="41"/>
    <n v="54902.68"/>
    <s v="Female"/>
    <s v="South"/>
    <x v="2"/>
    <s v="Never Engaged"/>
    <x v="0"/>
  </r>
  <r>
    <n v="16"/>
    <n v="20"/>
    <n v="48783.22"/>
    <s v="Male"/>
    <s v="East"/>
    <x v="0"/>
    <s v="Often Engaged"/>
    <x v="0"/>
  </r>
  <r>
    <n v="17"/>
    <n v="39"/>
    <n v="57016.92"/>
    <s v="Male"/>
    <s v="West"/>
    <x v="1"/>
    <s v="Often Engaged"/>
    <x v="0"/>
  </r>
  <r>
    <n v="18"/>
    <n v="19"/>
    <n v="61041.84"/>
    <s v="Male"/>
    <s v="North"/>
    <x v="1"/>
    <s v="Rarely Engaged"/>
    <x v="0"/>
  </r>
  <r>
    <n v="19"/>
    <n v="41"/>
    <n v="38304.47"/>
    <s v="Male"/>
    <s v="North"/>
    <x v="1"/>
    <s v="Never Engaged"/>
    <x v="1"/>
  </r>
  <r>
    <n v="20"/>
    <n v="61"/>
    <n v="37341.550000000003"/>
    <s v="Male"/>
    <s v="West"/>
    <x v="1"/>
    <s v="Often Engaged"/>
    <x v="1"/>
  </r>
  <r>
    <n v="21"/>
    <n v="47"/>
    <n v="47741.99"/>
    <s v="Male"/>
    <s v="North"/>
    <x v="0"/>
    <s v="Often Engaged"/>
    <x v="0"/>
  </r>
  <r>
    <n v="22"/>
    <n v="55"/>
    <n v="35516.629999999997"/>
    <s v="Female"/>
    <s v="North"/>
    <x v="2"/>
    <s v="Never Engaged"/>
    <x v="1"/>
  </r>
  <r>
    <n v="23"/>
    <n v="19"/>
    <n v="52257.34"/>
    <s v="Female"/>
    <s v="South"/>
    <x v="1"/>
    <s v="Rarely Engaged"/>
    <x v="0"/>
  </r>
  <r>
    <n v="24"/>
    <n v="38"/>
    <n v="48298.68"/>
    <s v="Male"/>
    <s v="North"/>
    <x v="2"/>
    <s v="Rarely Engaged"/>
    <x v="0"/>
  </r>
  <r>
    <n v="25"/>
    <n v="50"/>
    <n v="89502.92"/>
    <s v="Female"/>
    <s v="East"/>
    <x v="0"/>
    <s v="Often Engaged"/>
    <x v="2"/>
  </r>
  <r>
    <n v="26"/>
    <n v="29"/>
    <n v="34623.64"/>
    <s v="Female"/>
    <s v="East"/>
    <x v="0"/>
    <s v="Never Engaged"/>
    <x v="1"/>
  </r>
  <r>
    <n v="27"/>
    <n v="39"/>
    <n v="38269.279999999999"/>
    <s v="Female"/>
    <s v="West"/>
    <x v="0"/>
    <s v="Rarely Engaged"/>
    <x v="1"/>
  </r>
  <r>
    <n v="28"/>
    <n v="61"/>
    <n v="56359.15"/>
    <s v="Female"/>
    <s v="North"/>
    <x v="1"/>
    <s v="Never Engaged"/>
    <x v="0"/>
  </r>
  <r>
    <n v="29"/>
    <n v="42"/>
    <n v="63090.58"/>
    <s v="Male"/>
    <s v="West"/>
    <x v="2"/>
    <s v="Never Engaged"/>
    <x v="2"/>
  </r>
  <r>
    <n v="30"/>
    <n v="44"/>
    <n v="84308.39"/>
    <s v="Female"/>
    <s v="East"/>
    <x v="2"/>
    <s v="Often Engaged"/>
    <x v="2"/>
  </r>
  <r>
    <n v="31"/>
    <n v="59"/>
    <n v="74343.81"/>
    <s v="Female"/>
    <s v="North"/>
    <x v="2"/>
    <s v="Rarely Engaged"/>
    <x v="2"/>
  </r>
  <r>
    <n v="32"/>
    <n v="45"/>
    <n v="62356"/>
    <s v="Male"/>
    <s v="North"/>
    <x v="0"/>
    <s v="Often Engaged"/>
    <x v="2"/>
  </r>
  <r>
    <n v="33"/>
    <n v="33"/>
    <n v="54395.89"/>
    <s v="Male"/>
    <s v="West"/>
    <x v="1"/>
    <s v="Rarely Engaged"/>
    <x v="0"/>
  </r>
  <r>
    <n v="34"/>
    <n v="32"/>
    <n v="63449.46"/>
    <s v="Female"/>
    <s v="East"/>
    <x v="0"/>
    <s v="Rarely Engaged"/>
    <x v="2"/>
  </r>
  <r>
    <n v="35"/>
    <n v="64"/>
    <n v="40845.17"/>
    <s v="Female"/>
    <s v="North"/>
    <x v="0"/>
    <s v="Rarely Engaged"/>
    <x v="0"/>
  </r>
  <r>
    <n v="36"/>
    <n v="61"/>
    <n v="45257.51"/>
    <s v="Female"/>
    <s v="West"/>
    <x v="2"/>
    <s v="Rarely Engaged"/>
    <x v="0"/>
  </r>
  <r>
    <n v="37"/>
    <n v="20"/>
    <n v="27763.64"/>
    <s v="Female"/>
    <s v="East"/>
    <x v="0"/>
    <s v="Rarely Engaged"/>
    <x v="1"/>
  </r>
  <r>
    <n v="38"/>
    <n v="54"/>
    <n v="46567.29"/>
    <s v="Female"/>
    <s v="West"/>
    <x v="2"/>
    <s v="Never Engaged"/>
    <x v="0"/>
  </r>
  <r>
    <n v="39"/>
    <n v="24"/>
    <n v="64439.62"/>
    <s v="Female"/>
    <s v="South"/>
    <x v="1"/>
    <s v="Often Engaged"/>
    <x v="2"/>
  </r>
  <r>
    <n v="40"/>
    <n v="38"/>
    <n v="46854.61"/>
    <s v="Male"/>
    <s v="North"/>
    <x v="2"/>
    <s v="Never Engaged"/>
    <x v="0"/>
  </r>
  <r>
    <n v="41"/>
    <n v="26"/>
    <n v="38389.360000000001"/>
    <s v="Female"/>
    <s v="South"/>
    <x v="1"/>
    <s v="Rarely Engaged"/>
    <x v="1"/>
  </r>
  <r>
    <n v="42"/>
    <n v="56"/>
    <n v="44603.33"/>
    <s v="Female"/>
    <s v="East"/>
    <x v="2"/>
    <s v="Often Engaged"/>
    <x v="0"/>
  </r>
  <r>
    <n v="43"/>
    <n v="35"/>
    <n v="60861.25"/>
    <s v="Male"/>
    <s v="South"/>
    <x v="0"/>
    <s v="Rarely Engaged"/>
    <x v="0"/>
  </r>
  <r>
    <n v="44"/>
    <n v="21"/>
    <n v="46163.53"/>
    <s v="Male"/>
    <s v="South"/>
    <x v="0"/>
    <s v="Often Engaged"/>
    <x v="0"/>
  </r>
  <r>
    <n v="45"/>
    <n v="42"/>
    <n v="62748.82"/>
    <s v="Male"/>
    <s v="East"/>
    <x v="1"/>
    <s v="Never Engaged"/>
    <x v="2"/>
  </r>
  <r>
    <n v="46"/>
    <n v="31"/>
    <n v="30330.14"/>
    <s v="Male"/>
    <s v="West"/>
    <x v="1"/>
    <s v="Often Engaged"/>
    <x v="1"/>
  </r>
  <r>
    <n v="47"/>
    <n v="26"/>
    <n v="36945.43"/>
    <s v="Female"/>
    <s v="South"/>
    <x v="1"/>
    <s v="Often Engaged"/>
    <x v="1"/>
  </r>
  <r>
    <n v="48"/>
    <n v="43"/>
    <n v="42400.35"/>
    <s v="Female"/>
    <s v="West"/>
    <x v="2"/>
    <s v="Often Engaged"/>
    <x v="0"/>
  </r>
  <r>
    <n v="49"/>
    <n v="19"/>
    <n v="30350.74"/>
    <s v="Female"/>
    <s v="South"/>
    <x v="2"/>
    <s v="Often Engaged"/>
    <x v="1"/>
  </r>
  <r>
    <n v="50"/>
    <n v="37"/>
    <n v="94154.95"/>
    <s v="Female"/>
    <s v="West"/>
    <x v="1"/>
    <s v="Often Engaged"/>
    <x v="2"/>
  </r>
  <r>
    <n v="51"/>
    <n v="45"/>
    <n v="33556.01"/>
    <s v="Female"/>
    <s v="East"/>
    <x v="0"/>
    <s v="Rarely Engaged"/>
    <x v="1"/>
  </r>
  <r>
    <n v="52"/>
    <n v="64"/>
    <n v="63723.26"/>
    <s v="Female"/>
    <s v="South"/>
    <x v="2"/>
    <s v="Often Engaged"/>
    <x v="2"/>
  </r>
  <r>
    <n v="53"/>
    <n v="24"/>
    <n v="40009.089999999997"/>
    <s v="Male"/>
    <s v="East"/>
    <x v="2"/>
    <s v="Often Engaged"/>
    <x v="0"/>
  </r>
  <r>
    <n v="54"/>
    <n v="61"/>
    <n v="42293.19"/>
    <s v="Female"/>
    <s v="South"/>
    <x v="2"/>
    <s v="Never Engaged"/>
    <x v="0"/>
  </r>
  <r>
    <n v="55"/>
    <n v="25"/>
    <n v="54519.839999999997"/>
    <s v="Male"/>
    <s v="East"/>
    <x v="1"/>
    <s v="Often Engaged"/>
    <x v="0"/>
  </r>
  <r>
    <n v="56"/>
    <n v="64"/>
    <n v="28122.25"/>
    <s v="Male"/>
    <s v="East"/>
    <x v="1"/>
    <s v="Never Engaged"/>
    <x v="1"/>
  </r>
  <r>
    <n v="57"/>
    <n v="52"/>
    <n v="40058.93"/>
    <s v="Female"/>
    <s v="South"/>
    <x v="1"/>
    <s v="Rarely Engaged"/>
    <x v="0"/>
  </r>
  <r>
    <n v="58"/>
    <n v="31"/>
    <n v="47802.91"/>
    <s v="Male"/>
    <s v="South"/>
    <x v="1"/>
    <s v="Often Engaged"/>
    <x v="0"/>
  </r>
  <r>
    <n v="59"/>
    <n v="34"/>
    <n v="37309.74"/>
    <s v="Female"/>
    <s v="South"/>
    <x v="1"/>
    <s v="Never Engaged"/>
    <x v="1"/>
  </r>
  <r>
    <n v="60"/>
    <n v="53"/>
    <n v="37662.660000000003"/>
    <s v="Male"/>
    <s v="North"/>
    <x v="0"/>
    <s v="Never Engaged"/>
    <x v="1"/>
  </r>
  <r>
    <n v="61"/>
    <n v="57"/>
    <n v="66300.91"/>
    <s v="Female"/>
    <s v="West"/>
    <x v="0"/>
    <s v="Rarely Engaged"/>
    <x v="2"/>
  </r>
  <r>
    <n v="62"/>
    <n v="21"/>
    <n v="65074.8"/>
    <s v="Male"/>
    <s v="North"/>
    <x v="1"/>
    <s v="Often Engaged"/>
    <x v="2"/>
  </r>
  <r>
    <n v="63"/>
    <n v="19"/>
    <n v="43373.51"/>
    <s v="Female"/>
    <s v="North"/>
    <x v="2"/>
    <s v="Often Engaged"/>
    <x v="0"/>
  </r>
  <r>
    <n v="64"/>
    <n v="23"/>
    <n v="48737.52"/>
    <s v="Female"/>
    <s v="East"/>
    <x v="1"/>
    <s v="Never Engaged"/>
    <x v="0"/>
  </r>
  <r>
    <n v="65"/>
    <n v="59"/>
    <n v="68555.240000000005"/>
    <s v="Female"/>
    <s v="South"/>
    <x v="0"/>
    <s v="Often Engaged"/>
    <x v="2"/>
  </r>
  <r>
    <n v="66"/>
    <n v="21"/>
    <n v="28602.82"/>
    <s v="Female"/>
    <s v="West"/>
    <x v="0"/>
    <s v="Never Engaged"/>
    <x v="1"/>
  </r>
  <r>
    <n v="67"/>
    <n v="46"/>
    <n v="55070.34"/>
    <s v="Female"/>
    <s v="East"/>
    <x v="2"/>
    <s v="Often Engaged"/>
    <x v="0"/>
  </r>
  <r>
    <n v="68"/>
    <n v="35"/>
    <n v="79618.570000000007"/>
    <s v="Male"/>
    <s v="North"/>
    <x v="0"/>
    <s v="Never Engaged"/>
    <x v="2"/>
  </r>
  <r>
    <n v="69"/>
    <n v="43"/>
    <n v="79475.520000000004"/>
    <s v="Male"/>
    <s v="South"/>
    <x v="1"/>
    <s v="Often Engaged"/>
    <x v="2"/>
  </r>
  <r>
    <n v="70"/>
    <n v="61"/>
    <n v="20901.330000000002"/>
    <s v="Male"/>
    <s v="East"/>
    <x v="2"/>
    <s v="Rarely Engaged"/>
    <x v="1"/>
  </r>
  <r>
    <n v="71"/>
    <n v="51"/>
    <n v="38560.6"/>
    <s v="Female"/>
    <s v="South"/>
    <x v="1"/>
    <s v="Often Engaged"/>
    <x v="0"/>
  </r>
  <r>
    <n v="72"/>
    <n v="27"/>
    <n v="52529.89"/>
    <s v="Male"/>
    <s v="East"/>
    <x v="1"/>
    <s v="Often Engaged"/>
    <x v="0"/>
  </r>
  <r>
    <n v="73"/>
    <n v="53"/>
    <n v="30171.85"/>
    <s v="Female"/>
    <s v="South"/>
    <x v="2"/>
    <s v="Rarely Engaged"/>
    <x v="1"/>
  </r>
  <r>
    <n v="74"/>
    <n v="31"/>
    <n v="39976.300000000003"/>
    <s v="Female"/>
    <s v="North"/>
    <x v="1"/>
    <s v="Often Engaged"/>
    <x v="0"/>
  </r>
  <r>
    <n v="75"/>
    <n v="48"/>
    <n v="47940.63"/>
    <s v="Male"/>
    <s v="West"/>
    <x v="0"/>
    <s v="Rarely Engaged"/>
    <x v="0"/>
  </r>
  <r>
    <n v="76"/>
    <n v="32"/>
    <n v="71019.820000000007"/>
    <s v="Male"/>
    <s v="North"/>
    <x v="1"/>
    <s v="Often Engaged"/>
    <x v="2"/>
  </r>
  <r>
    <n v="77"/>
    <n v="25"/>
    <n v="49318.96"/>
    <s v="Female"/>
    <s v="West"/>
    <x v="2"/>
    <s v="Never Engaged"/>
    <x v="0"/>
  </r>
  <r>
    <n v="78"/>
    <n v="31"/>
    <n v="53254.05"/>
    <s v="Male"/>
    <s v="South"/>
    <x v="2"/>
    <s v="Never Engaged"/>
    <x v="0"/>
  </r>
  <r>
    <n v="79"/>
    <n v="40"/>
    <n v="57686.36"/>
    <s v="Female"/>
    <s v="East"/>
    <x v="2"/>
    <s v="Often Engaged"/>
    <x v="0"/>
  </r>
  <r>
    <n v="80"/>
    <n v="57"/>
    <n v="58152.33"/>
    <s v="Female"/>
    <s v="North"/>
    <x v="1"/>
    <s v="Often Engaged"/>
    <x v="0"/>
  </r>
  <r>
    <n v="81"/>
    <n v="38"/>
    <n v="50421.49"/>
    <s v="Female"/>
    <s v="West"/>
    <x v="2"/>
    <s v="Often Engaged"/>
    <x v="0"/>
  </r>
  <r>
    <n v="82"/>
    <n v="33"/>
    <n v="32043.69"/>
    <s v="Female"/>
    <s v="North"/>
    <x v="2"/>
    <s v="Never Engaged"/>
    <x v="1"/>
  </r>
  <r>
    <n v="83"/>
    <n v="62"/>
    <n v="61845.09"/>
    <s v="Female"/>
    <s v="West"/>
    <x v="1"/>
    <s v="Often Engaged"/>
    <x v="2"/>
  </r>
  <r>
    <n v="84"/>
    <n v="35"/>
    <n v="56472.34"/>
    <s v="Male"/>
    <s v="North"/>
    <x v="0"/>
    <s v="Never Engaged"/>
    <x v="0"/>
  </r>
  <r>
    <n v="85"/>
    <n v="64"/>
    <n v="33548.720000000001"/>
    <s v="Male"/>
    <s v="West"/>
    <x v="1"/>
    <s v="Rarely Engaged"/>
    <x v="1"/>
  </r>
  <r>
    <n v="86"/>
    <n v="41"/>
    <n v="39765.480000000003"/>
    <s v="Female"/>
    <s v="West"/>
    <x v="2"/>
    <s v="Never Engaged"/>
    <x v="0"/>
  </r>
  <r>
    <n v="87"/>
    <n v="43"/>
    <n v="63312.67"/>
    <s v="Female"/>
    <s v="South"/>
    <x v="2"/>
    <s v="Never Engaged"/>
    <x v="2"/>
  </r>
  <r>
    <n v="88"/>
    <n v="42"/>
    <n v="59082.25"/>
    <s v="Male"/>
    <s v="West"/>
    <x v="1"/>
    <s v="Rarely Engaged"/>
    <x v="0"/>
  </r>
  <r>
    <n v="89"/>
    <n v="62"/>
    <n v="39195.53"/>
    <s v="Male"/>
    <s v="South"/>
    <x v="0"/>
    <s v="Never Engaged"/>
    <x v="0"/>
  </r>
  <r>
    <n v="90"/>
    <n v="58"/>
    <n v="45950.99"/>
    <s v="Female"/>
    <s v="West"/>
    <x v="2"/>
    <s v="Often Engaged"/>
    <x v="0"/>
  </r>
  <r>
    <n v="91"/>
    <n v="46"/>
    <n v="47848.07"/>
    <s v="Male"/>
    <s v="East"/>
    <x v="2"/>
    <s v="Often Engaged"/>
    <x v="0"/>
  </r>
  <r>
    <n v="92"/>
    <n v="32"/>
    <n v="59255.06"/>
    <s v="Female"/>
    <s v="East"/>
    <x v="2"/>
    <s v="Never Engaged"/>
    <x v="0"/>
  </r>
  <r>
    <n v="93"/>
    <n v="62"/>
    <n v="68734.11"/>
    <s v="Male"/>
    <s v="East"/>
    <x v="1"/>
    <s v="Often Engaged"/>
    <x v="2"/>
  </r>
  <r>
    <n v="94"/>
    <n v="18"/>
    <n v="50984.74"/>
    <s v="Female"/>
    <s v="West"/>
    <x v="2"/>
    <s v="Never Engaged"/>
    <x v="0"/>
  </r>
  <r>
    <n v="95"/>
    <n v="42"/>
    <n v="67538.11"/>
    <s v="Male"/>
    <s v="South"/>
    <x v="0"/>
    <s v="Often Engaged"/>
    <x v="2"/>
  </r>
  <r>
    <n v="96"/>
    <n v="24"/>
    <n v="63099.75"/>
    <s v="Female"/>
    <s v="South"/>
    <x v="2"/>
    <s v="Often Engaged"/>
    <x v="2"/>
  </r>
  <r>
    <n v="97"/>
    <n v="26"/>
    <n v="53084.75"/>
    <s v="Male"/>
    <s v="West"/>
    <x v="2"/>
    <s v="Never Engaged"/>
    <x v="0"/>
  </r>
  <r>
    <n v="98"/>
    <n v="41"/>
    <n v="28347.75"/>
    <s v="Male"/>
    <s v="East"/>
    <x v="0"/>
    <s v="Often Engaged"/>
    <x v="1"/>
  </r>
  <r>
    <n v="99"/>
    <n v="18"/>
    <n v="34584.339999999997"/>
    <s v="Female"/>
    <s v="East"/>
    <x v="2"/>
    <s v="Never Engaged"/>
    <x v="1"/>
  </r>
  <r>
    <n v="100"/>
    <n v="61"/>
    <n v="61118.61"/>
    <s v="Male"/>
    <s v="South"/>
    <x v="1"/>
    <s v="Often Engaged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56"/>
    <n v="59544.58"/>
    <s v="Female"/>
    <s v="West"/>
    <s v="Low Spender"/>
    <x v="0"/>
    <n v="0"/>
    <n v="2"/>
    <n v="0"/>
    <n v="46"/>
    <x v="0"/>
    <x v="0"/>
  </r>
  <r>
    <n v="2"/>
    <n v="46"/>
    <n v="36399.19"/>
    <s v="Female"/>
    <s v="East"/>
    <s v="High Spender"/>
    <x v="0"/>
    <n v="2"/>
    <n v="2"/>
    <n v="3"/>
    <n v="46"/>
    <x v="0"/>
    <x v="1"/>
  </r>
  <r>
    <n v="3"/>
    <n v="32"/>
    <n v="57140.639999999999"/>
    <s v="Female"/>
    <s v="West"/>
    <s v="Moderate Spender"/>
    <x v="1"/>
    <n v="1"/>
    <n v="0"/>
    <n v="2"/>
    <n v="46"/>
    <x v="0"/>
    <x v="2"/>
  </r>
  <r>
    <n v="4"/>
    <n v="60"/>
    <n v="69554.92"/>
    <s v="Male"/>
    <s v="East"/>
    <s v="Low Spender"/>
    <x v="2"/>
    <n v="0"/>
    <n v="1"/>
    <n v="0"/>
    <n v="46"/>
    <x v="1"/>
    <x v="0"/>
  </r>
  <r>
    <n v="5"/>
    <n v="25"/>
    <n v="53173.81"/>
    <s v="Female"/>
    <s v="West"/>
    <s v="Moderate Spender"/>
    <x v="0"/>
    <n v="1"/>
    <n v="2"/>
    <n v="1"/>
    <n v="46"/>
    <x v="1"/>
    <x v="2"/>
  </r>
  <r>
    <n v="6"/>
    <n v="38"/>
    <n v="58955.67"/>
    <s v="Female"/>
    <s v="North"/>
    <s v="High Spender"/>
    <x v="1"/>
    <n v="2"/>
    <n v="0"/>
    <n v="2"/>
    <n v="46"/>
    <x v="0"/>
    <x v="3"/>
  </r>
  <r>
    <n v="7"/>
    <n v="56"/>
    <n v="36554.97"/>
    <s v="Male"/>
    <s v="West"/>
    <s v="Moderate Spender"/>
    <x v="2"/>
    <n v="1"/>
    <n v="1"/>
    <n v="3"/>
    <n v="46"/>
    <x v="0"/>
    <x v="0"/>
  </r>
  <r>
    <n v="8"/>
    <n v="36"/>
    <n v="48320.18"/>
    <s v="Female"/>
    <s v="North"/>
    <s v="Moderate Spender"/>
    <x v="1"/>
    <n v="1"/>
    <n v="0"/>
    <n v="2"/>
    <n v="46"/>
    <x v="0"/>
    <x v="3"/>
  </r>
  <r>
    <n v="9"/>
    <n v="40"/>
    <n v="72034.12"/>
    <s v="Male"/>
    <s v="West"/>
    <s v="Moderate Spender"/>
    <x v="0"/>
    <n v="1"/>
    <n v="2"/>
    <n v="1"/>
    <n v="46"/>
    <x v="0"/>
    <x v="3"/>
  </r>
  <r>
    <n v="10"/>
    <n v="28"/>
    <n v="33141.519999999997"/>
    <s v="Female"/>
    <s v="West"/>
    <s v="Moderate Spender"/>
    <x v="0"/>
    <n v="1"/>
    <n v="2"/>
    <n v="1"/>
    <n v="46"/>
    <x v="1"/>
    <x v="2"/>
  </r>
  <r>
    <n v="11"/>
    <n v="28"/>
    <n v="64250.080000000002"/>
    <s v="Female"/>
    <s v="South"/>
    <s v="High Spender"/>
    <x v="0"/>
    <n v="2"/>
    <n v="2"/>
    <n v="1"/>
    <n v="46"/>
    <x v="1"/>
    <x v="2"/>
  </r>
  <r>
    <n v="12"/>
    <n v="41"/>
    <n v="75897.75"/>
    <s v="Female"/>
    <s v="North"/>
    <s v="Moderate Spender"/>
    <x v="1"/>
    <n v="1"/>
    <n v="0"/>
    <n v="2"/>
    <n v="46"/>
    <x v="0"/>
    <x v="3"/>
  </r>
  <r>
    <n v="13"/>
    <n v="53"/>
    <n v="56868.28"/>
    <s v="Male"/>
    <s v="South"/>
    <s v="Moderate Spender"/>
    <x v="1"/>
    <n v="1"/>
    <n v="0"/>
    <n v="2"/>
    <n v="46"/>
    <x v="0"/>
    <x v="1"/>
  </r>
  <r>
    <n v="14"/>
    <n v="57"/>
    <n v="24735.69"/>
    <s v="Male"/>
    <s v="North"/>
    <s v="Low Spender"/>
    <x v="0"/>
    <n v="0"/>
    <n v="2"/>
    <n v="0"/>
    <n v="46"/>
    <x v="0"/>
    <x v="0"/>
  </r>
  <r>
    <n v="15"/>
    <n v="41"/>
    <n v="54902.68"/>
    <s v="Female"/>
    <s v="South"/>
    <s v="Moderate Spender"/>
    <x v="1"/>
    <n v="1"/>
    <n v="0"/>
    <n v="2"/>
    <n v="46"/>
    <x v="0"/>
    <x v="3"/>
  </r>
  <r>
    <n v="16"/>
    <n v="20"/>
    <n v="48783.22"/>
    <s v="Male"/>
    <s v="East"/>
    <s v="Low Spender"/>
    <x v="0"/>
    <n v="0"/>
    <n v="2"/>
    <n v="0"/>
    <n v="46"/>
    <x v="1"/>
    <x v="4"/>
  </r>
  <r>
    <n v="17"/>
    <n v="39"/>
    <n v="57016.92"/>
    <s v="Male"/>
    <s v="West"/>
    <s v="High Spender"/>
    <x v="0"/>
    <n v="2"/>
    <n v="2"/>
    <n v="1"/>
    <n v="46"/>
    <x v="0"/>
    <x v="3"/>
  </r>
  <r>
    <n v="18"/>
    <n v="19"/>
    <n v="61041.84"/>
    <s v="Male"/>
    <s v="North"/>
    <s v="High Spender"/>
    <x v="2"/>
    <n v="2"/>
    <n v="1"/>
    <n v="1"/>
    <n v="46"/>
    <x v="1"/>
    <x v="4"/>
  </r>
  <r>
    <n v="19"/>
    <n v="41"/>
    <n v="38304.47"/>
    <s v="Male"/>
    <s v="North"/>
    <s v="High Spender"/>
    <x v="1"/>
    <n v="2"/>
    <n v="0"/>
    <n v="2"/>
    <n v="46"/>
    <x v="0"/>
    <x v="3"/>
  </r>
  <r>
    <n v="20"/>
    <n v="61"/>
    <n v="37341.550000000003"/>
    <s v="Male"/>
    <s v="West"/>
    <s v="High Spender"/>
    <x v="0"/>
    <n v="2"/>
    <n v="2"/>
    <n v="3"/>
    <n v="46"/>
    <x v="1"/>
    <x v="0"/>
  </r>
  <r>
    <n v="21"/>
    <n v="47"/>
    <n v="47741.99"/>
    <s v="Male"/>
    <s v="North"/>
    <s v="Low Spender"/>
    <x v="0"/>
    <n v="0"/>
    <n v="2"/>
    <n v="0"/>
    <n v="46"/>
    <x v="0"/>
    <x v="1"/>
  </r>
  <r>
    <n v="22"/>
    <n v="55"/>
    <n v="35516.629999999997"/>
    <s v="Female"/>
    <s v="North"/>
    <s v="Moderate Spender"/>
    <x v="1"/>
    <n v="1"/>
    <n v="0"/>
    <n v="2"/>
    <n v="46"/>
    <x v="0"/>
    <x v="0"/>
  </r>
  <r>
    <n v="23"/>
    <n v="19"/>
    <n v="52257.34"/>
    <s v="Female"/>
    <s v="South"/>
    <s v="High Spender"/>
    <x v="2"/>
    <n v="2"/>
    <n v="1"/>
    <n v="1"/>
    <n v="46"/>
    <x v="1"/>
    <x v="4"/>
  </r>
  <r>
    <n v="24"/>
    <n v="38"/>
    <n v="48298.68"/>
    <s v="Male"/>
    <s v="North"/>
    <s v="Moderate Spender"/>
    <x v="2"/>
    <n v="1"/>
    <n v="1"/>
    <n v="2"/>
    <n v="46"/>
    <x v="0"/>
    <x v="3"/>
  </r>
  <r>
    <n v="25"/>
    <n v="50"/>
    <n v="89502.92"/>
    <s v="Female"/>
    <s v="East"/>
    <s v="Low Spender"/>
    <x v="0"/>
    <n v="0"/>
    <n v="2"/>
    <n v="0"/>
    <n v="46"/>
    <x v="0"/>
    <x v="1"/>
  </r>
  <r>
    <n v="26"/>
    <n v="29"/>
    <n v="34623.64"/>
    <s v="Female"/>
    <s v="East"/>
    <s v="Low Spender"/>
    <x v="1"/>
    <n v="0"/>
    <n v="0"/>
    <n v="2"/>
    <n v="46"/>
    <x v="1"/>
    <x v="2"/>
  </r>
  <r>
    <n v="27"/>
    <n v="39"/>
    <n v="38269.279999999999"/>
    <s v="Female"/>
    <s v="West"/>
    <s v="Low Spender"/>
    <x v="2"/>
    <n v="0"/>
    <n v="1"/>
    <n v="0"/>
    <n v="46"/>
    <x v="0"/>
    <x v="3"/>
  </r>
  <r>
    <n v="28"/>
    <n v="61"/>
    <n v="56359.15"/>
    <s v="Female"/>
    <s v="North"/>
    <s v="High Spender"/>
    <x v="1"/>
    <n v="2"/>
    <n v="0"/>
    <n v="3"/>
    <n v="46"/>
    <x v="1"/>
    <x v="0"/>
  </r>
  <r>
    <n v="29"/>
    <n v="42"/>
    <n v="63090.58"/>
    <s v="Male"/>
    <s v="West"/>
    <s v="Moderate Spender"/>
    <x v="1"/>
    <n v="1"/>
    <n v="0"/>
    <n v="2"/>
    <n v="46"/>
    <x v="0"/>
    <x v="3"/>
  </r>
  <r>
    <n v="30"/>
    <n v="44"/>
    <n v="84308.39"/>
    <s v="Female"/>
    <s v="East"/>
    <s v="Moderate Spender"/>
    <x v="0"/>
    <n v="1"/>
    <n v="2"/>
    <n v="1"/>
    <n v="46"/>
    <x v="0"/>
    <x v="3"/>
  </r>
  <r>
    <n v="31"/>
    <n v="59"/>
    <n v="74343.81"/>
    <s v="Female"/>
    <s v="North"/>
    <s v="Moderate Spender"/>
    <x v="2"/>
    <n v="1"/>
    <n v="1"/>
    <n v="3"/>
    <n v="46"/>
    <x v="0"/>
    <x v="0"/>
  </r>
  <r>
    <n v="32"/>
    <n v="45"/>
    <n v="62356"/>
    <s v="Male"/>
    <s v="North"/>
    <s v="Low Spender"/>
    <x v="0"/>
    <n v="0"/>
    <n v="2"/>
    <n v="0"/>
    <n v="46"/>
    <x v="0"/>
    <x v="1"/>
  </r>
  <r>
    <n v="33"/>
    <n v="33"/>
    <n v="54395.89"/>
    <s v="Male"/>
    <s v="West"/>
    <s v="High Spender"/>
    <x v="2"/>
    <n v="2"/>
    <n v="1"/>
    <n v="1"/>
    <n v="46"/>
    <x v="0"/>
    <x v="2"/>
  </r>
  <r>
    <n v="34"/>
    <n v="32"/>
    <n v="63449.46"/>
    <s v="Female"/>
    <s v="East"/>
    <s v="Low Spender"/>
    <x v="2"/>
    <n v="0"/>
    <n v="1"/>
    <n v="0"/>
    <n v="46"/>
    <x v="0"/>
    <x v="2"/>
  </r>
  <r>
    <n v="35"/>
    <n v="64"/>
    <n v="40845.17"/>
    <s v="Female"/>
    <s v="North"/>
    <s v="Low Spender"/>
    <x v="2"/>
    <n v="0"/>
    <n v="1"/>
    <n v="0"/>
    <n v="46"/>
    <x v="1"/>
    <x v="0"/>
  </r>
  <r>
    <n v="36"/>
    <n v="61"/>
    <n v="45257.51"/>
    <s v="Female"/>
    <s v="West"/>
    <s v="Moderate Spender"/>
    <x v="2"/>
    <n v="1"/>
    <n v="1"/>
    <n v="3"/>
    <n v="46"/>
    <x v="1"/>
    <x v="0"/>
  </r>
  <r>
    <n v="37"/>
    <n v="20"/>
    <n v="27763.64"/>
    <s v="Female"/>
    <s v="East"/>
    <s v="Low Spender"/>
    <x v="2"/>
    <n v="0"/>
    <n v="1"/>
    <n v="0"/>
    <n v="46"/>
    <x v="1"/>
    <x v="4"/>
  </r>
  <r>
    <n v="38"/>
    <n v="54"/>
    <n v="46567.29"/>
    <s v="Female"/>
    <s v="West"/>
    <s v="Moderate Spender"/>
    <x v="1"/>
    <n v="1"/>
    <n v="0"/>
    <n v="2"/>
    <n v="46"/>
    <x v="0"/>
    <x v="1"/>
  </r>
  <r>
    <n v="39"/>
    <n v="24"/>
    <n v="64439.62"/>
    <s v="Female"/>
    <s v="South"/>
    <s v="High Spender"/>
    <x v="0"/>
    <n v="2"/>
    <n v="2"/>
    <n v="1"/>
    <n v="46"/>
    <x v="1"/>
    <x v="4"/>
  </r>
  <r>
    <n v="40"/>
    <n v="38"/>
    <n v="46854.61"/>
    <s v="Male"/>
    <s v="North"/>
    <s v="Moderate Spender"/>
    <x v="1"/>
    <n v="1"/>
    <n v="0"/>
    <n v="2"/>
    <n v="46"/>
    <x v="0"/>
    <x v="3"/>
  </r>
  <r>
    <n v="41"/>
    <n v="26"/>
    <n v="38389.360000000001"/>
    <s v="Female"/>
    <s v="South"/>
    <s v="High Spender"/>
    <x v="2"/>
    <n v="2"/>
    <n v="1"/>
    <n v="1"/>
    <n v="46"/>
    <x v="1"/>
    <x v="2"/>
  </r>
  <r>
    <n v="42"/>
    <n v="56"/>
    <n v="44603.33"/>
    <s v="Female"/>
    <s v="East"/>
    <s v="Moderate Spender"/>
    <x v="0"/>
    <n v="1"/>
    <n v="2"/>
    <n v="3"/>
    <n v="46"/>
    <x v="0"/>
    <x v="0"/>
  </r>
  <r>
    <n v="43"/>
    <n v="35"/>
    <n v="60861.25"/>
    <s v="Male"/>
    <s v="South"/>
    <s v="Low Spender"/>
    <x v="2"/>
    <n v="0"/>
    <n v="1"/>
    <n v="0"/>
    <n v="46"/>
    <x v="0"/>
    <x v="3"/>
  </r>
  <r>
    <n v="44"/>
    <n v="21"/>
    <n v="46163.53"/>
    <s v="Male"/>
    <s v="South"/>
    <s v="Low Spender"/>
    <x v="0"/>
    <n v="0"/>
    <n v="2"/>
    <n v="0"/>
    <n v="46"/>
    <x v="1"/>
    <x v="4"/>
  </r>
  <r>
    <n v="45"/>
    <n v="42"/>
    <n v="62748.82"/>
    <s v="Male"/>
    <s v="East"/>
    <s v="High Spender"/>
    <x v="1"/>
    <n v="2"/>
    <n v="0"/>
    <n v="2"/>
    <n v="46"/>
    <x v="0"/>
    <x v="3"/>
  </r>
  <r>
    <n v="46"/>
    <n v="31"/>
    <n v="30330.14"/>
    <s v="Male"/>
    <s v="West"/>
    <s v="High Spender"/>
    <x v="0"/>
    <n v="2"/>
    <n v="2"/>
    <n v="1"/>
    <n v="46"/>
    <x v="0"/>
    <x v="2"/>
  </r>
  <r>
    <n v="47"/>
    <n v="26"/>
    <n v="36945.43"/>
    <s v="Female"/>
    <s v="South"/>
    <s v="High Spender"/>
    <x v="0"/>
    <n v="2"/>
    <n v="2"/>
    <n v="1"/>
    <n v="46"/>
    <x v="1"/>
    <x v="2"/>
  </r>
  <r>
    <n v="48"/>
    <n v="43"/>
    <n v="42400.35"/>
    <s v="Female"/>
    <s v="West"/>
    <s v="Moderate Spender"/>
    <x v="0"/>
    <n v="1"/>
    <n v="2"/>
    <n v="3"/>
    <n v="46"/>
    <x v="0"/>
    <x v="3"/>
  </r>
  <r>
    <n v="49"/>
    <n v="19"/>
    <n v="30350.74"/>
    <s v="Female"/>
    <s v="South"/>
    <s v="Moderate Spender"/>
    <x v="0"/>
    <n v="1"/>
    <n v="2"/>
    <n v="1"/>
    <n v="46"/>
    <x v="1"/>
    <x v="4"/>
  </r>
  <r>
    <n v="50"/>
    <n v="37"/>
    <n v="94154.95"/>
    <s v="Female"/>
    <s v="West"/>
    <s v="High Spender"/>
    <x v="0"/>
    <n v="2"/>
    <n v="2"/>
    <n v="1"/>
    <n v="46"/>
    <x v="0"/>
    <x v="3"/>
  </r>
  <r>
    <n v="51"/>
    <n v="45"/>
    <n v="33556.01"/>
    <s v="Female"/>
    <s v="East"/>
    <s v="Low Spender"/>
    <x v="2"/>
    <n v="0"/>
    <n v="1"/>
    <n v="0"/>
    <n v="46"/>
    <x v="0"/>
    <x v="1"/>
  </r>
  <r>
    <n v="52"/>
    <n v="64"/>
    <n v="63723.26"/>
    <s v="Female"/>
    <s v="South"/>
    <s v="Moderate Spender"/>
    <x v="0"/>
    <n v="1"/>
    <n v="2"/>
    <n v="3"/>
    <n v="46"/>
    <x v="1"/>
    <x v="0"/>
  </r>
  <r>
    <n v="53"/>
    <n v="24"/>
    <n v="40009.089999999997"/>
    <s v="Male"/>
    <s v="East"/>
    <s v="Moderate Spender"/>
    <x v="0"/>
    <n v="1"/>
    <n v="2"/>
    <n v="1"/>
    <n v="46"/>
    <x v="1"/>
    <x v="4"/>
  </r>
  <r>
    <n v="54"/>
    <n v="61"/>
    <n v="42293.19"/>
    <s v="Female"/>
    <s v="South"/>
    <s v="Moderate Spender"/>
    <x v="1"/>
    <n v="1"/>
    <n v="0"/>
    <n v="2"/>
    <n v="46"/>
    <x v="1"/>
    <x v="0"/>
  </r>
  <r>
    <n v="55"/>
    <n v="25"/>
    <n v="54519.839999999997"/>
    <s v="Male"/>
    <s v="East"/>
    <s v="High Spender"/>
    <x v="0"/>
    <n v="2"/>
    <n v="2"/>
    <n v="1"/>
    <n v="46"/>
    <x v="1"/>
    <x v="2"/>
  </r>
  <r>
    <n v="56"/>
    <n v="64"/>
    <n v="28122.25"/>
    <s v="Male"/>
    <s v="East"/>
    <s v="High Spender"/>
    <x v="1"/>
    <n v="2"/>
    <n v="0"/>
    <n v="3"/>
    <n v="46"/>
    <x v="1"/>
    <x v="0"/>
  </r>
  <r>
    <n v="57"/>
    <n v="52"/>
    <n v="40058.93"/>
    <s v="Female"/>
    <s v="South"/>
    <s v="High Spender"/>
    <x v="2"/>
    <n v="2"/>
    <n v="1"/>
    <n v="3"/>
    <n v="46"/>
    <x v="0"/>
    <x v="1"/>
  </r>
  <r>
    <n v="58"/>
    <n v="31"/>
    <n v="47802.91"/>
    <s v="Male"/>
    <s v="South"/>
    <s v="High Spender"/>
    <x v="0"/>
    <n v="2"/>
    <n v="2"/>
    <n v="1"/>
    <n v="46"/>
    <x v="0"/>
    <x v="2"/>
  </r>
  <r>
    <n v="59"/>
    <n v="34"/>
    <n v="37309.74"/>
    <s v="Female"/>
    <s v="South"/>
    <s v="High Spender"/>
    <x v="1"/>
    <n v="2"/>
    <n v="0"/>
    <n v="2"/>
    <n v="46"/>
    <x v="0"/>
    <x v="2"/>
  </r>
  <r>
    <n v="60"/>
    <n v="53"/>
    <n v="37662.660000000003"/>
    <s v="Male"/>
    <s v="North"/>
    <s v="Low Spender"/>
    <x v="1"/>
    <n v="0"/>
    <n v="0"/>
    <n v="0"/>
    <n v="46"/>
    <x v="0"/>
    <x v="1"/>
  </r>
  <r>
    <n v="61"/>
    <n v="57"/>
    <n v="66300.91"/>
    <s v="Female"/>
    <s v="West"/>
    <s v="Low Spender"/>
    <x v="2"/>
    <n v="0"/>
    <n v="1"/>
    <n v="0"/>
    <n v="46"/>
    <x v="0"/>
    <x v="0"/>
  </r>
  <r>
    <n v="62"/>
    <n v="21"/>
    <n v="65074.8"/>
    <s v="Male"/>
    <s v="North"/>
    <s v="High Spender"/>
    <x v="0"/>
    <n v="2"/>
    <n v="2"/>
    <n v="1"/>
    <n v="46"/>
    <x v="1"/>
    <x v="4"/>
  </r>
  <r>
    <n v="63"/>
    <n v="19"/>
    <n v="43373.51"/>
    <s v="Female"/>
    <s v="North"/>
    <s v="Moderate Spender"/>
    <x v="0"/>
    <n v="1"/>
    <n v="2"/>
    <n v="1"/>
    <n v="46"/>
    <x v="1"/>
    <x v="4"/>
  </r>
  <r>
    <n v="64"/>
    <n v="23"/>
    <n v="48737.52"/>
    <s v="Female"/>
    <s v="East"/>
    <s v="High Spender"/>
    <x v="1"/>
    <n v="2"/>
    <n v="0"/>
    <n v="2"/>
    <n v="46"/>
    <x v="1"/>
    <x v="4"/>
  </r>
  <r>
    <n v="65"/>
    <n v="59"/>
    <n v="68555.240000000005"/>
    <s v="Female"/>
    <s v="South"/>
    <s v="Low Spender"/>
    <x v="0"/>
    <n v="0"/>
    <n v="2"/>
    <n v="0"/>
    <n v="46"/>
    <x v="0"/>
    <x v="0"/>
  </r>
  <r>
    <n v="66"/>
    <n v="21"/>
    <n v="28602.82"/>
    <s v="Female"/>
    <s v="West"/>
    <s v="Low Spender"/>
    <x v="1"/>
    <n v="0"/>
    <n v="0"/>
    <n v="2"/>
    <n v="46"/>
    <x v="1"/>
    <x v="4"/>
  </r>
  <r>
    <n v="67"/>
    <n v="46"/>
    <n v="55070.34"/>
    <s v="Female"/>
    <s v="East"/>
    <s v="Moderate Spender"/>
    <x v="0"/>
    <n v="1"/>
    <n v="2"/>
    <n v="3"/>
    <n v="46"/>
    <x v="0"/>
    <x v="1"/>
  </r>
  <r>
    <n v="68"/>
    <n v="35"/>
    <n v="79618.570000000007"/>
    <s v="Male"/>
    <s v="North"/>
    <s v="Low Spender"/>
    <x v="1"/>
    <n v="0"/>
    <n v="0"/>
    <n v="2"/>
    <n v="46"/>
    <x v="0"/>
    <x v="3"/>
  </r>
  <r>
    <n v="69"/>
    <n v="43"/>
    <n v="79475.520000000004"/>
    <s v="Male"/>
    <s v="South"/>
    <s v="High Spender"/>
    <x v="0"/>
    <n v="2"/>
    <n v="2"/>
    <n v="1"/>
    <n v="46"/>
    <x v="0"/>
    <x v="3"/>
  </r>
  <r>
    <n v="70"/>
    <n v="61"/>
    <n v="20901.330000000002"/>
    <s v="Male"/>
    <s v="East"/>
    <s v="Moderate Spender"/>
    <x v="2"/>
    <n v="1"/>
    <n v="1"/>
    <n v="3"/>
    <n v="46"/>
    <x v="1"/>
    <x v="0"/>
  </r>
  <r>
    <n v="71"/>
    <n v="51"/>
    <n v="38560.6"/>
    <s v="Female"/>
    <s v="South"/>
    <s v="High Spender"/>
    <x v="0"/>
    <n v="2"/>
    <n v="2"/>
    <n v="3"/>
    <n v="46"/>
    <x v="0"/>
    <x v="1"/>
  </r>
  <r>
    <n v="72"/>
    <n v="27"/>
    <n v="52529.89"/>
    <s v="Male"/>
    <s v="East"/>
    <s v="High Spender"/>
    <x v="0"/>
    <n v="2"/>
    <n v="2"/>
    <n v="1"/>
    <n v="46"/>
    <x v="1"/>
    <x v="2"/>
  </r>
  <r>
    <n v="73"/>
    <n v="53"/>
    <n v="30171.85"/>
    <s v="Female"/>
    <s v="South"/>
    <s v="Moderate Spender"/>
    <x v="2"/>
    <n v="1"/>
    <n v="1"/>
    <n v="3"/>
    <n v="46"/>
    <x v="0"/>
    <x v="1"/>
  </r>
  <r>
    <n v="74"/>
    <n v="31"/>
    <n v="39976.300000000003"/>
    <s v="Female"/>
    <s v="North"/>
    <s v="High Spender"/>
    <x v="0"/>
    <n v="2"/>
    <n v="2"/>
    <n v="1"/>
    <n v="46"/>
    <x v="0"/>
    <x v="2"/>
  </r>
  <r>
    <n v="75"/>
    <n v="48"/>
    <n v="47940.63"/>
    <s v="Male"/>
    <s v="West"/>
    <s v="Low Spender"/>
    <x v="2"/>
    <n v="0"/>
    <n v="1"/>
    <n v="0"/>
    <n v="46"/>
    <x v="0"/>
    <x v="1"/>
  </r>
  <r>
    <n v="76"/>
    <n v="32"/>
    <n v="71019.820000000007"/>
    <s v="Male"/>
    <s v="North"/>
    <s v="High Spender"/>
    <x v="0"/>
    <n v="2"/>
    <n v="2"/>
    <n v="1"/>
    <n v="46"/>
    <x v="0"/>
    <x v="2"/>
  </r>
  <r>
    <n v="77"/>
    <n v="25"/>
    <n v="49318.96"/>
    <s v="Female"/>
    <s v="West"/>
    <s v="Moderate Spender"/>
    <x v="1"/>
    <n v="1"/>
    <n v="0"/>
    <n v="2"/>
    <n v="46"/>
    <x v="1"/>
    <x v="2"/>
  </r>
  <r>
    <n v="78"/>
    <n v="31"/>
    <n v="53254.05"/>
    <s v="Male"/>
    <s v="South"/>
    <s v="Moderate Spender"/>
    <x v="1"/>
    <n v="1"/>
    <n v="0"/>
    <n v="2"/>
    <n v="46"/>
    <x v="0"/>
    <x v="2"/>
  </r>
  <r>
    <n v="79"/>
    <n v="40"/>
    <n v="57686.36"/>
    <s v="Female"/>
    <s v="East"/>
    <s v="Moderate Spender"/>
    <x v="0"/>
    <n v="1"/>
    <n v="2"/>
    <n v="1"/>
    <n v="46"/>
    <x v="0"/>
    <x v="3"/>
  </r>
  <r>
    <n v="80"/>
    <n v="57"/>
    <n v="58152.33"/>
    <s v="Female"/>
    <s v="North"/>
    <s v="High Spender"/>
    <x v="0"/>
    <n v="2"/>
    <n v="2"/>
    <n v="3"/>
    <n v="46"/>
    <x v="0"/>
    <x v="0"/>
  </r>
  <r>
    <n v="81"/>
    <n v="38"/>
    <n v="50421.49"/>
    <s v="Female"/>
    <s v="West"/>
    <s v="Moderate Spender"/>
    <x v="0"/>
    <n v="1"/>
    <n v="2"/>
    <n v="1"/>
    <n v="46"/>
    <x v="0"/>
    <x v="3"/>
  </r>
  <r>
    <n v="82"/>
    <n v="33"/>
    <n v="32043.69"/>
    <s v="Female"/>
    <s v="North"/>
    <s v="Moderate Spender"/>
    <x v="1"/>
    <n v="1"/>
    <n v="0"/>
    <n v="2"/>
    <n v="46"/>
    <x v="0"/>
    <x v="2"/>
  </r>
  <r>
    <n v="83"/>
    <n v="62"/>
    <n v="61845.09"/>
    <s v="Female"/>
    <s v="West"/>
    <s v="High Spender"/>
    <x v="0"/>
    <n v="2"/>
    <n v="2"/>
    <n v="3"/>
    <n v="46"/>
    <x v="1"/>
    <x v="0"/>
  </r>
  <r>
    <n v="84"/>
    <n v="35"/>
    <n v="56472.34"/>
    <s v="Male"/>
    <s v="North"/>
    <s v="Low Spender"/>
    <x v="1"/>
    <n v="0"/>
    <n v="0"/>
    <n v="2"/>
    <n v="46"/>
    <x v="0"/>
    <x v="3"/>
  </r>
  <r>
    <n v="85"/>
    <n v="64"/>
    <n v="33548.720000000001"/>
    <s v="Male"/>
    <s v="West"/>
    <s v="High Spender"/>
    <x v="2"/>
    <n v="2"/>
    <n v="1"/>
    <n v="3"/>
    <n v="46"/>
    <x v="1"/>
    <x v="0"/>
  </r>
  <r>
    <n v="86"/>
    <n v="41"/>
    <n v="39765.480000000003"/>
    <s v="Female"/>
    <s v="West"/>
    <s v="Moderate Spender"/>
    <x v="1"/>
    <n v="1"/>
    <n v="0"/>
    <n v="2"/>
    <n v="46"/>
    <x v="0"/>
    <x v="3"/>
  </r>
  <r>
    <n v="87"/>
    <n v="43"/>
    <n v="63312.67"/>
    <s v="Female"/>
    <s v="South"/>
    <s v="Moderate Spender"/>
    <x v="1"/>
    <n v="1"/>
    <n v="0"/>
    <n v="2"/>
    <n v="46"/>
    <x v="0"/>
    <x v="3"/>
  </r>
  <r>
    <n v="88"/>
    <n v="42"/>
    <n v="59082.25"/>
    <s v="Male"/>
    <s v="West"/>
    <s v="High Spender"/>
    <x v="2"/>
    <n v="2"/>
    <n v="1"/>
    <n v="1"/>
    <n v="46"/>
    <x v="0"/>
    <x v="3"/>
  </r>
  <r>
    <n v="89"/>
    <n v="62"/>
    <n v="39195.53"/>
    <s v="Male"/>
    <s v="South"/>
    <s v="Low Spender"/>
    <x v="1"/>
    <n v="0"/>
    <n v="0"/>
    <n v="0"/>
    <n v="46"/>
    <x v="1"/>
    <x v="0"/>
  </r>
  <r>
    <n v="90"/>
    <n v="58"/>
    <n v="45950.99"/>
    <s v="Female"/>
    <s v="West"/>
    <s v="Moderate Spender"/>
    <x v="0"/>
    <n v="1"/>
    <n v="2"/>
    <n v="3"/>
    <n v="46"/>
    <x v="0"/>
    <x v="0"/>
  </r>
  <r>
    <n v="91"/>
    <n v="46"/>
    <n v="47848.07"/>
    <s v="Male"/>
    <s v="East"/>
    <s v="Moderate Spender"/>
    <x v="0"/>
    <n v="1"/>
    <n v="2"/>
    <n v="3"/>
    <n v="46"/>
    <x v="0"/>
    <x v="1"/>
  </r>
  <r>
    <n v="92"/>
    <n v="32"/>
    <n v="59255.06"/>
    <s v="Female"/>
    <s v="East"/>
    <s v="Moderate Spender"/>
    <x v="1"/>
    <n v="1"/>
    <n v="0"/>
    <n v="2"/>
    <n v="46"/>
    <x v="0"/>
    <x v="2"/>
  </r>
  <r>
    <n v="93"/>
    <n v="62"/>
    <n v="68734.11"/>
    <s v="Male"/>
    <s v="East"/>
    <s v="High Spender"/>
    <x v="0"/>
    <n v="2"/>
    <n v="2"/>
    <n v="3"/>
    <n v="46"/>
    <x v="1"/>
    <x v="0"/>
  </r>
  <r>
    <n v="94"/>
    <n v="18"/>
    <n v="50984.74"/>
    <s v="Female"/>
    <s v="West"/>
    <s v="Moderate Spender"/>
    <x v="1"/>
    <n v="1"/>
    <n v="0"/>
    <n v="2"/>
    <n v="46"/>
    <x v="1"/>
    <x v="4"/>
  </r>
  <r>
    <n v="95"/>
    <n v="42"/>
    <n v="67538.11"/>
    <s v="Male"/>
    <s v="South"/>
    <s v="Low Spender"/>
    <x v="0"/>
    <n v="0"/>
    <n v="2"/>
    <n v="0"/>
    <n v="46"/>
    <x v="0"/>
    <x v="3"/>
  </r>
  <r>
    <n v="96"/>
    <n v="24"/>
    <n v="63099.75"/>
    <s v="Female"/>
    <s v="South"/>
    <s v="Moderate Spender"/>
    <x v="0"/>
    <n v="1"/>
    <n v="2"/>
    <n v="1"/>
    <n v="46"/>
    <x v="1"/>
    <x v="4"/>
  </r>
  <r>
    <n v="97"/>
    <n v="26"/>
    <n v="53084.75"/>
    <s v="Male"/>
    <s v="West"/>
    <s v="Moderate Spender"/>
    <x v="1"/>
    <n v="1"/>
    <n v="0"/>
    <n v="2"/>
    <n v="46"/>
    <x v="1"/>
    <x v="2"/>
  </r>
  <r>
    <n v="98"/>
    <n v="41"/>
    <n v="28347.75"/>
    <s v="Male"/>
    <s v="East"/>
    <s v="Low Spender"/>
    <x v="0"/>
    <n v="0"/>
    <n v="2"/>
    <n v="0"/>
    <n v="46"/>
    <x v="0"/>
    <x v="3"/>
  </r>
  <r>
    <n v="99"/>
    <n v="18"/>
    <n v="34584.339999999997"/>
    <s v="Female"/>
    <s v="East"/>
    <s v="Moderate Spender"/>
    <x v="1"/>
    <n v="1"/>
    <n v="0"/>
    <n v="2"/>
    <n v="46"/>
    <x v="1"/>
    <x v="4"/>
  </r>
  <r>
    <n v="100"/>
    <n v="61"/>
    <n v="61118.61"/>
    <s v="Male"/>
    <s v="South"/>
    <s v="High Spender"/>
    <x v="0"/>
    <n v="2"/>
    <n v="2"/>
    <n v="3"/>
    <n v="46"/>
    <x v="1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56"/>
    <n v="59544.58"/>
    <s v="Female"/>
    <s v="West"/>
    <s v="Low Spender"/>
    <s v="Often Engaged"/>
    <n v="0"/>
    <n v="2"/>
    <n v="0"/>
    <n v="46"/>
    <x v="0"/>
    <s v="55+"/>
    <n v="2"/>
    <n v="53730.51263157896"/>
  </r>
  <r>
    <n v="2"/>
    <n v="46"/>
    <n v="36399.19"/>
    <s v="Female"/>
    <s v="East"/>
    <s v="High Spender"/>
    <s v="Often Engaged"/>
    <n v="2"/>
    <n v="2"/>
    <n v="3"/>
    <n v="46"/>
    <x v="0"/>
    <s v="45-54"/>
    <n v="4"/>
    <n v="53730.51263157896"/>
  </r>
  <r>
    <n v="3"/>
    <n v="32"/>
    <n v="57140.639999999999"/>
    <s v="Female"/>
    <s v="West"/>
    <s v="Moderate Spender"/>
    <s v="Never Engaged"/>
    <n v="1"/>
    <n v="0"/>
    <n v="2"/>
    <n v="46"/>
    <x v="1"/>
    <s v="25-34"/>
    <n v="1"/>
    <n v="42046.358571428573"/>
  </r>
  <r>
    <n v="4"/>
    <n v="60"/>
    <n v="69554.92"/>
    <s v="Male"/>
    <s v="East"/>
    <s v="Low Spender"/>
    <s v="Rarely Engaged"/>
    <n v="0"/>
    <n v="1"/>
    <n v="0"/>
    <n v="46"/>
    <x v="2"/>
    <s v="55+"/>
    <n v="1"/>
    <s v="No Data"/>
  </r>
  <r>
    <n v="5"/>
    <n v="25"/>
    <n v="53173.81"/>
    <s v="Female"/>
    <s v="West"/>
    <s v="Moderate Spender"/>
    <s v="Often Engaged"/>
    <n v="1"/>
    <n v="2"/>
    <n v="1"/>
    <n v="46"/>
    <x v="3"/>
    <s v="25-34"/>
    <n v="3"/>
    <n v="50173.108"/>
  </r>
  <r>
    <n v="6"/>
    <n v="38"/>
    <n v="58955.67"/>
    <s v="Female"/>
    <s v="North"/>
    <s v="High Spender"/>
    <s v="Never Engaged"/>
    <n v="2"/>
    <n v="0"/>
    <n v="2"/>
    <n v="46"/>
    <x v="0"/>
    <s v="35-44"/>
    <n v="2"/>
    <n v="53730.51263157896"/>
  </r>
  <r>
    <n v="7"/>
    <n v="56"/>
    <n v="36554.97"/>
    <s v="Male"/>
    <s v="West"/>
    <s v="Moderate Spender"/>
    <s v="Rarely Engaged"/>
    <n v="1"/>
    <n v="1"/>
    <n v="3"/>
    <n v="46"/>
    <x v="0"/>
    <s v="55+"/>
    <n v="2"/>
    <n v="53730.51263157896"/>
  </r>
  <r>
    <n v="8"/>
    <n v="36"/>
    <n v="48320.18"/>
    <s v="Female"/>
    <s v="North"/>
    <s v="Moderate Spender"/>
    <s v="Never Engaged"/>
    <n v="1"/>
    <n v="0"/>
    <n v="2"/>
    <n v="46"/>
    <x v="1"/>
    <s v="35-44"/>
    <n v="1"/>
    <n v="42046.358571428573"/>
  </r>
  <r>
    <n v="9"/>
    <n v="40"/>
    <n v="72034.12"/>
    <s v="Male"/>
    <s v="West"/>
    <s v="Moderate Spender"/>
    <s v="Often Engaged"/>
    <n v="1"/>
    <n v="2"/>
    <n v="1"/>
    <n v="46"/>
    <x v="0"/>
    <s v="35-44"/>
    <n v="3"/>
    <n v="53730.51263157896"/>
  </r>
  <r>
    <n v="10"/>
    <n v="28"/>
    <n v="33141.519999999997"/>
    <s v="Female"/>
    <s v="West"/>
    <s v="Moderate Spender"/>
    <s v="Often Engaged"/>
    <n v="1"/>
    <n v="2"/>
    <n v="1"/>
    <n v="46"/>
    <x v="3"/>
    <s v="25-34"/>
    <n v="3"/>
    <n v="50173.108"/>
  </r>
  <r>
    <n v="11"/>
    <n v="28"/>
    <n v="64250.080000000002"/>
    <s v="Female"/>
    <s v="South"/>
    <s v="High Spender"/>
    <s v="Often Engaged"/>
    <n v="2"/>
    <n v="2"/>
    <n v="1"/>
    <n v="46"/>
    <x v="3"/>
    <s v="25-34"/>
    <n v="4"/>
    <n v="50173.108"/>
  </r>
  <r>
    <n v="12"/>
    <n v="41"/>
    <n v="75897.75"/>
    <s v="Female"/>
    <s v="North"/>
    <s v="Moderate Spender"/>
    <s v="Never Engaged"/>
    <n v="1"/>
    <n v="0"/>
    <n v="2"/>
    <n v="46"/>
    <x v="1"/>
    <s v="35-44"/>
    <n v="1"/>
    <n v="42046.358571428573"/>
  </r>
  <r>
    <n v="13"/>
    <n v="53"/>
    <n v="56868.28"/>
    <s v="Male"/>
    <s v="South"/>
    <s v="Moderate Spender"/>
    <s v="Never Engaged"/>
    <n v="1"/>
    <n v="0"/>
    <n v="2"/>
    <n v="46"/>
    <x v="1"/>
    <s v="45-54"/>
    <n v="1"/>
    <n v="42046.358571428573"/>
  </r>
  <r>
    <n v="14"/>
    <n v="57"/>
    <n v="24735.69"/>
    <s v="Male"/>
    <s v="North"/>
    <s v="Low Spender"/>
    <s v="Often Engaged"/>
    <n v="0"/>
    <n v="2"/>
    <n v="0"/>
    <n v="46"/>
    <x v="0"/>
    <s v="55+"/>
    <n v="2"/>
    <n v="53730.51263157896"/>
  </r>
  <r>
    <n v="15"/>
    <n v="41"/>
    <n v="54902.68"/>
    <s v="Female"/>
    <s v="South"/>
    <s v="Moderate Spender"/>
    <s v="Never Engaged"/>
    <n v="1"/>
    <n v="0"/>
    <n v="2"/>
    <n v="46"/>
    <x v="1"/>
    <s v="35-44"/>
    <n v="1"/>
    <n v="42046.358571428573"/>
  </r>
  <r>
    <n v="16"/>
    <n v="20"/>
    <n v="48783.22"/>
    <s v="Male"/>
    <s v="East"/>
    <s v="Low Spender"/>
    <s v="Often Engaged"/>
    <n v="0"/>
    <n v="2"/>
    <n v="0"/>
    <n v="46"/>
    <x v="1"/>
    <s v="18-24"/>
    <n v="2"/>
    <n v="42046.358571428573"/>
  </r>
  <r>
    <n v="17"/>
    <n v="39"/>
    <n v="57016.92"/>
    <s v="Male"/>
    <s v="West"/>
    <s v="High Spender"/>
    <s v="Often Engaged"/>
    <n v="2"/>
    <n v="2"/>
    <n v="1"/>
    <n v="46"/>
    <x v="0"/>
    <s v="35-44"/>
    <n v="4"/>
    <n v="53730.51263157896"/>
  </r>
  <r>
    <n v="18"/>
    <n v="19"/>
    <n v="61041.84"/>
    <s v="Male"/>
    <s v="North"/>
    <s v="High Spender"/>
    <s v="Rarely Engaged"/>
    <n v="2"/>
    <n v="1"/>
    <n v="1"/>
    <n v="46"/>
    <x v="3"/>
    <s v="18-24"/>
    <n v="3"/>
    <n v="50173.108"/>
  </r>
  <r>
    <n v="19"/>
    <n v="41"/>
    <n v="38304.47"/>
    <s v="Male"/>
    <s v="North"/>
    <s v="High Spender"/>
    <s v="Never Engaged"/>
    <n v="2"/>
    <n v="0"/>
    <n v="2"/>
    <n v="46"/>
    <x v="0"/>
    <s v="35-44"/>
    <n v="2"/>
    <n v="53730.51263157896"/>
  </r>
  <r>
    <n v="20"/>
    <n v="61"/>
    <n v="37341.550000000003"/>
    <s v="Male"/>
    <s v="West"/>
    <s v="High Spender"/>
    <s v="Often Engaged"/>
    <n v="2"/>
    <n v="2"/>
    <n v="3"/>
    <n v="46"/>
    <x v="4"/>
    <s v="55+"/>
    <n v="4"/>
    <n v="54385.223333333328"/>
  </r>
  <r>
    <n v="21"/>
    <n v="47"/>
    <n v="47741.99"/>
    <s v="Male"/>
    <s v="North"/>
    <s v="Low Spender"/>
    <s v="Often Engaged"/>
    <n v="0"/>
    <n v="2"/>
    <n v="0"/>
    <n v="46"/>
    <x v="0"/>
    <s v="45-54"/>
    <n v="2"/>
    <n v="53730.51263157896"/>
  </r>
  <r>
    <n v="22"/>
    <n v="55"/>
    <n v="35516.629999999997"/>
    <s v="Female"/>
    <s v="North"/>
    <s v="Moderate Spender"/>
    <s v="Never Engaged"/>
    <n v="1"/>
    <n v="0"/>
    <n v="2"/>
    <n v="46"/>
    <x v="1"/>
    <s v="55+"/>
    <n v="1"/>
    <n v="42046.358571428573"/>
  </r>
  <r>
    <n v="23"/>
    <n v="19"/>
    <n v="52257.34"/>
    <s v="Female"/>
    <s v="South"/>
    <s v="High Spender"/>
    <s v="Rarely Engaged"/>
    <n v="2"/>
    <n v="1"/>
    <n v="1"/>
    <n v="46"/>
    <x v="3"/>
    <s v="18-24"/>
    <n v="3"/>
    <n v="50173.108"/>
  </r>
  <r>
    <n v="24"/>
    <n v="38"/>
    <n v="48298.68"/>
    <s v="Male"/>
    <s v="North"/>
    <s v="Moderate Spender"/>
    <s v="Rarely Engaged"/>
    <n v="1"/>
    <n v="1"/>
    <n v="2"/>
    <n v="46"/>
    <x v="0"/>
    <s v="35-44"/>
    <n v="2"/>
    <n v="53730.51263157896"/>
  </r>
  <r>
    <n v="25"/>
    <n v="50"/>
    <n v="89502.92"/>
    <s v="Female"/>
    <s v="East"/>
    <s v="Low Spender"/>
    <s v="Often Engaged"/>
    <n v="0"/>
    <n v="2"/>
    <n v="0"/>
    <n v="46"/>
    <x v="0"/>
    <s v="45-54"/>
    <n v="2"/>
    <n v="53730.51263157896"/>
  </r>
  <r>
    <n v="26"/>
    <n v="29"/>
    <n v="34623.64"/>
    <s v="Female"/>
    <s v="East"/>
    <s v="Low Spender"/>
    <s v="Never Engaged"/>
    <n v="0"/>
    <n v="0"/>
    <n v="2"/>
    <n v="46"/>
    <x v="1"/>
    <s v="25-34"/>
    <n v="0"/>
    <n v="42046.358571428573"/>
  </r>
  <r>
    <n v="27"/>
    <n v="39"/>
    <n v="38269.279999999999"/>
    <s v="Female"/>
    <s v="West"/>
    <s v="Low Spender"/>
    <s v="Rarely Engaged"/>
    <n v="0"/>
    <n v="1"/>
    <n v="0"/>
    <n v="46"/>
    <x v="1"/>
    <s v="35-44"/>
    <n v="1"/>
    <n v="42046.358571428573"/>
  </r>
  <r>
    <n v="28"/>
    <n v="61"/>
    <n v="56359.15"/>
    <s v="Female"/>
    <s v="North"/>
    <s v="High Spender"/>
    <s v="Never Engaged"/>
    <n v="2"/>
    <n v="0"/>
    <n v="3"/>
    <n v="46"/>
    <x v="1"/>
    <s v="55+"/>
    <n v="2"/>
    <n v="42046.358571428573"/>
  </r>
  <r>
    <n v="29"/>
    <n v="42"/>
    <n v="63090.58"/>
    <s v="Male"/>
    <s v="West"/>
    <s v="Moderate Spender"/>
    <s v="Never Engaged"/>
    <n v="1"/>
    <n v="0"/>
    <n v="2"/>
    <n v="46"/>
    <x v="1"/>
    <s v="35-44"/>
    <n v="1"/>
    <n v="42046.358571428573"/>
  </r>
  <r>
    <n v="30"/>
    <n v="44"/>
    <n v="84308.39"/>
    <s v="Female"/>
    <s v="East"/>
    <s v="Moderate Spender"/>
    <s v="Often Engaged"/>
    <n v="1"/>
    <n v="2"/>
    <n v="1"/>
    <n v="46"/>
    <x v="0"/>
    <s v="35-44"/>
    <n v="3"/>
    <n v="53730.51263157896"/>
  </r>
  <r>
    <n v="31"/>
    <n v="59"/>
    <n v="74343.81"/>
    <s v="Female"/>
    <s v="North"/>
    <s v="Moderate Spender"/>
    <s v="Rarely Engaged"/>
    <n v="1"/>
    <n v="1"/>
    <n v="3"/>
    <n v="46"/>
    <x v="0"/>
    <s v="55+"/>
    <n v="2"/>
    <n v="53730.51263157896"/>
  </r>
  <r>
    <n v="32"/>
    <n v="45"/>
    <n v="62356"/>
    <s v="Male"/>
    <s v="North"/>
    <s v="Low Spender"/>
    <s v="Often Engaged"/>
    <n v="0"/>
    <n v="2"/>
    <n v="0"/>
    <n v="46"/>
    <x v="0"/>
    <s v="45-54"/>
    <n v="2"/>
    <n v="53730.51263157896"/>
  </r>
  <r>
    <n v="33"/>
    <n v="33"/>
    <n v="54395.89"/>
    <s v="Male"/>
    <s v="West"/>
    <s v="High Spender"/>
    <s v="Rarely Engaged"/>
    <n v="2"/>
    <n v="1"/>
    <n v="1"/>
    <n v="46"/>
    <x v="0"/>
    <s v="25-34"/>
    <n v="3"/>
    <n v="53730.51263157896"/>
  </r>
  <r>
    <n v="34"/>
    <n v="32"/>
    <n v="63449.46"/>
    <s v="Female"/>
    <s v="East"/>
    <s v="Low Spender"/>
    <s v="Rarely Engaged"/>
    <n v="0"/>
    <n v="1"/>
    <n v="0"/>
    <n v="46"/>
    <x v="1"/>
    <s v="25-34"/>
    <n v="1"/>
    <n v="42046.358571428573"/>
  </r>
  <r>
    <n v="35"/>
    <n v="64"/>
    <n v="40845.17"/>
    <s v="Female"/>
    <s v="North"/>
    <s v="Low Spender"/>
    <s v="Rarely Engaged"/>
    <n v="0"/>
    <n v="1"/>
    <n v="0"/>
    <n v="46"/>
    <x v="2"/>
    <s v="55+"/>
    <n v="1"/>
    <s v="No Data"/>
  </r>
  <r>
    <n v="36"/>
    <n v="61"/>
    <n v="45257.51"/>
    <s v="Female"/>
    <s v="West"/>
    <s v="Moderate Spender"/>
    <s v="Rarely Engaged"/>
    <n v="1"/>
    <n v="1"/>
    <n v="3"/>
    <n v="46"/>
    <x v="1"/>
    <s v="55+"/>
    <n v="2"/>
    <n v="42046.358571428573"/>
  </r>
  <r>
    <n v="37"/>
    <n v="20"/>
    <n v="27763.64"/>
    <s v="Female"/>
    <s v="East"/>
    <s v="Low Spender"/>
    <s v="Rarely Engaged"/>
    <n v="0"/>
    <n v="1"/>
    <n v="0"/>
    <n v="46"/>
    <x v="1"/>
    <s v="18-24"/>
    <n v="1"/>
    <n v="42046.358571428573"/>
  </r>
  <r>
    <n v="38"/>
    <n v="54"/>
    <n v="46567.29"/>
    <s v="Female"/>
    <s v="West"/>
    <s v="Moderate Spender"/>
    <s v="Never Engaged"/>
    <n v="1"/>
    <n v="0"/>
    <n v="2"/>
    <n v="46"/>
    <x v="1"/>
    <s v="45-54"/>
    <n v="1"/>
    <n v="42046.358571428573"/>
  </r>
  <r>
    <n v="39"/>
    <n v="24"/>
    <n v="64439.62"/>
    <s v="Female"/>
    <s v="South"/>
    <s v="High Spender"/>
    <s v="Often Engaged"/>
    <n v="2"/>
    <n v="2"/>
    <n v="1"/>
    <n v="46"/>
    <x v="3"/>
    <s v="18-24"/>
    <n v="4"/>
    <n v="50173.108"/>
  </r>
  <r>
    <n v="40"/>
    <n v="38"/>
    <n v="46854.61"/>
    <s v="Male"/>
    <s v="North"/>
    <s v="Moderate Spender"/>
    <s v="Never Engaged"/>
    <n v="1"/>
    <n v="0"/>
    <n v="2"/>
    <n v="46"/>
    <x v="1"/>
    <s v="35-44"/>
    <n v="1"/>
    <n v="42046.358571428573"/>
  </r>
  <r>
    <n v="41"/>
    <n v="26"/>
    <n v="38389.360000000001"/>
    <s v="Female"/>
    <s v="South"/>
    <s v="High Spender"/>
    <s v="Rarely Engaged"/>
    <n v="2"/>
    <n v="1"/>
    <n v="1"/>
    <n v="46"/>
    <x v="3"/>
    <s v="25-34"/>
    <n v="3"/>
    <n v="50173.108"/>
  </r>
  <r>
    <n v="42"/>
    <n v="56"/>
    <n v="44603.33"/>
    <s v="Female"/>
    <s v="East"/>
    <s v="Moderate Spender"/>
    <s v="Often Engaged"/>
    <n v="1"/>
    <n v="2"/>
    <n v="3"/>
    <n v="46"/>
    <x v="0"/>
    <s v="55+"/>
    <n v="3"/>
    <n v="53730.51263157896"/>
  </r>
  <r>
    <n v="43"/>
    <n v="35"/>
    <n v="60861.25"/>
    <s v="Male"/>
    <s v="South"/>
    <s v="Low Spender"/>
    <s v="Rarely Engaged"/>
    <n v="0"/>
    <n v="1"/>
    <n v="0"/>
    <n v="46"/>
    <x v="1"/>
    <s v="35-44"/>
    <n v="1"/>
    <n v="42046.358571428573"/>
  </r>
  <r>
    <n v="44"/>
    <n v="21"/>
    <n v="46163.53"/>
    <s v="Male"/>
    <s v="South"/>
    <s v="Low Spender"/>
    <s v="Often Engaged"/>
    <n v="0"/>
    <n v="2"/>
    <n v="0"/>
    <n v="46"/>
    <x v="1"/>
    <s v="18-24"/>
    <n v="2"/>
    <n v="42046.358571428573"/>
  </r>
  <r>
    <n v="45"/>
    <n v="42"/>
    <n v="62748.82"/>
    <s v="Male"/>
    <s v="East"/>
    <s v="High Spender"/>
    <s v="Never Engaged"/>
    <n v="2"/>
    <n v="0"/>
    <n v="2"/>
    <n v="46"/>
    <x v="0"/>
    <s v="35-44"/>
    <n v="2"/>
    <n v="53730.51263157896"/>
  </r>
  <r>
    <n v="46"/>
    <n v="31"/>
    <n v="30330.14"/>
    <s v="Male"/>
    <s v="West"/>
    <s v="High Spender"/>
    <s v="Often Engaged"/>
    <n v="2"/>
    <n v="2"/>
    <n v="1"/>
    <n v="46"/>
    <x v="0"/>
    <s v="25-34"/>
    <n v="4"/>
    <n v="53730.51263157896"/>
  </r>
  <r>
    <n v="47"/>
    <n v="26"/>
    <n v="36945.43"/>
    <s v="Female"/>
    <s v="South"/>
    <s v="High Spender"/>
    <s v="Often Engaged"/>
    <n v="2"/>
    <n v="2"/>
    <n v="1"/>
    <n v="46"/>
    <x v="3"/>
    <s v="25-34"/>
    <n v="4"/>
    <n v="50173.108"/>
  </r>
  <r>
    <n v="48"/>
    <n v="43"/>
    <n v="42400.35"/>
    <s v="Female"/>
    <s v="West"/>
    <s v="Moderate Spender"/>
    <s v="Often Engaged"/>
    <n v="1"/>
    <n v="2"/>
    <n v="3"/>
    <n v="46"/>
    <x v="0"/>
    <s v="35-44"/>
    <n v="3"/>
    <n v="53730.51263157896"/>
  </r>
  <r>
    <n v="49"/>
    <n v="19"/>
    <n v="30350.74"/>
    <s v="Female"/>
    <s v="South"/>
    <s v="Moderate Spender"/>
    <s v="Often Engaged"/>
    <n v="1"/>
    <n v="2"/>
    <n v="1"/>
    <n v="46"/>
    <x v="3"/>
    <s v="18-24"/>
    <n v="3"/>
    <n v="50173.108"/>
  </r>
  <r>
    <n v="50"/>
    <n v="37"/>
    <n v="94154.95"/>
    <s v="Female"/>
    <s v="West"/>
    <s v="High Spender"/>
    <s v="Often Engaged"/>
    <n v="2"/>
    <n v="2"/>
    <n v="1"/>
    <n v="46"/>
    <x v="0"/>
    <s v="35-44"/>
    <n v="4"/>
    <n v="53730.51263157896"/>
  </r>
  <r>
    <n v="51"/>
    <n v="45"/>
    <n v="33556.01"/>
    <s v="Female"/>
    <s v="East"/>
    <s v="Low Spender"/>
    <s v="Rarely Engaged"/>
    <n v="0"/>
    <n v="1"/>
    <n v="0"/>
    <n v="46"/>
    <x v="1"/>
    <s v="45-54"/>
    <n v="1"/>
    <n v="42046.358571428573"/>
  </r>
  <r>
    <n v="52"/>
    <n v="64"/>
    <n v="63723.26"/>
    <s v="Female"/>
    <s v="South"/>
    <s v="Moderate Spender"/>
    <s v="Often Engaged"/>
    <n v="1"/>
    <n v="2"/>
    <n v="3"/>
    <n v="46"/>
    <x v="4"/>
    <s v="55+"/>
    <n v="3"/>
    <n v="54385.223333333328"/>
  </r>
  <r>
    <n v="53"/>
    <n v="24"/>
    <n v="40009.089999999997"/>
    <s v="Male"/>
    <s v="East"/>
    <s v="Moderate Spender"/>
    <s v="Often Engaged"/>
    <n v="1"/>
    <n v="2"/>
    <n v="1"/>
    <n v="46"/>
    <x v="3"/>
    <s v="18-24"/>
    <n v="3"/>
    <n v="50173.108"/>
  </r>
  <r>
    <n v="54"/>
    <n v="61"/>
    <n v="42293.19"/>
    <s v="Female"/>
    <s v="South"/>
    <s v="Moderate Spender"/>
    <s v="Never Engaged"/>
    <n v="1"/>
    <n v="0"/>
    <n v="2"/>
    <n v="46"/>
    <x v="2"/>
    <s v="55+"/>
    <n v="1"/>
    <s v="No Data"/>
  </r>
  <r>
    <n v="55"/>
    <n v="25"/>
    <n v="54519.839999999997"/>
    <s v="Male"/>
    <s v="East"/>
    <s v="High Spender"/>
    <s v="Often Engaged"/>
    <n v="2"/>
    <n v="2"/>
    <n v="1"/>
    <n v="46"/>
    <x v="3"/>
    <s v="25-34"/>
    <n v="4"/>
    <n v="50173.108"/>
  </r>
  <r>
    <n v="56"/>
    <n v="64"/>
    <n v="28122.25"/>
    <s v="Male"/>
    <s v="East"/>
    <s v="High Spender"/>
    <s v="Never Engaged"/>
    <n v="2"/>
    <n v="0"/>
    <n v="3"/>
    <n v="46"/>
    <x v="1"/>
    <s v="55+"/>
    <n v="2"/>
    <n v="42046.358571428573"/>
  </r>
  <r>
    <n v="57"/>
    <n v="52"/>
    <n v="40058.93"/>
    <s v="Female"/>
    <s v="South"/>
    <s v="High Spender"/>
    <s v="Rarely Engaged"/>
    <n v="2"/>
    <n v="1"/>
    <n v="3"/>
    <n v="46"/>
    <x v="0"/>
    <s v="45-54"/>
    <n v="3"/>
    <n v="53730.51263157896"/>
  </r>
  <r>
    <n v="58"/>
    <n v="31"/>
    <n v="47802.91"/>
    <s v="Male"/>
    <s v="South"/>
    <s v="High Spender"/>
    <s v="Often Engaged"/>
    <n v="2"/>
    <n v="2"/>
    <n v="1"/>
    <n v="46"/>
    <x v="0"/>
    <s v="25-34"/>
    <n v="4"/>
    <n v="53730.51263157896"/>
  </r>
  <r>
    <n v="59"/>
    <n v="34"/>
    <n v="37309.74"/>
    <s v="Female"/>
    <s v="South"/>
    <s v="High Spender"/>
    <s v="Never Engaged"/>
    <n v="2"/>
    <n v="0"/>
    <n v="2"/>
    <n v="46"/>
    <x v="0"/>
    <s v="25-34"/>
    <n v="2"/>
    <n v="53730.51263157896"/>
  </r>
  <r>
    <n v="60"/>
    <n v="53"/>
    <n v="37662.660000000003"/>
    <s v="Male"/>
    <s v="North"/>
    <s v="Low Spender"/>
    <s v="Never Engaged"/>
    <n v="0"/>
    <n v="0"/>
    <n v="0"/>
    <n v="46"/>
    <x v="1"/>
    <s v="45-54"/>
    <n v="0"/>
    <n v="42046.358571428573"/>
  </r>
  <r>
    <n v="61"/>
    <n v="57"/>
    <n v="66300.91"/>
    <s v="Female"/>
    <s v="West"/>
    <s v="Low Spender"/>
    <s v="Rarely Engaged"/>
    <n v="0"/>
    <n v="1"/>
    <n v="0"/>
    <n v="46"/>
    <x v="1"/>
    <s v="55+"/>
    <n v="1"/>
    <n v="42046.358571428573"/>
  </r>
  <r>
    <n v="62"/>
    <n v="21"/>
    <n v="65074.8"/>
    <s v="Male"/>
    <s v="North"/>
    <s v="High Spender"/>
    <s v="Often Engaged"/>
    <n v="2"/>
    <n v="2"/>
    <n v="1"/>
    <n v="46"/>
    <x v="3"/>
    <s v="18-24"/>
    <n v="4"/>
    <n v="50173.108"/>
  </r>
  <r>
    <n v="63"/>
    <n v="19"/>
    <n v="43373.51"/>
    <s v="Female"/>
    <s v="North"/>
    <s v="Moderate Spender"/>
    <s v="Often Engaged"/>
    <n v="1"/>
    <n v="2"/>
    <n v="1"/>
    <n v="46"/>
    <x v="3"/>
    <s v="18-24"/>
    <n v="3"/>
    <n v="50173.108"/>
  </r>
  <r>
    <n v="64"/>
    <n v="23"/>
    <n v="48737.52"/>
    <s v="Female"/>
    <s v="East"/>
    <s v="High Spender"/>
    <s v="Never Engaged"/>
    <n v="2"/>
    <n v="0"/>
    <n v="2"/>
    <n v="46"/>
    <x v="1"/>
    <s v="18-24"/>
    <n v="2"/>
    <n v="42046.358571428573"/>
  </r>
  <r>
    <n v="65"/>
    <n v="59"/>
    <n v="68555.240000000005"/>
    <s v="Female"/>
    <s v="South"/>
    <s v="Low Spender"/>
    <s v="Often Engaged"/>
    <n v="0"/>
    <n v="2"/>
    <n v="0"/>
    <n v="46"/>
    <x v="0"/>
    <s v="55+"/>
    <n v="2"/>
    <n v="53730.51263157896"/>
  </r>
  <r>
    <n v="66"/>
    <n v="21"/>
    <n v="28602.82"/>
    <s v="Female"/>
    <s v="West"/>
    <s v="Low Spender"/>
    <s v="Never Engaged"/>
    <n v="0"/>
    <n v="0"/>
    <n v="2"/>
    <n v="46"/>
    <x v="1"/>
    <s v="18-24"/>
    <n v="0"/>
    <n v="42046.358571428573"/>
  </r>
  <r>
    <n v="67"/>
    <n v="46"/>
    <n v="55070.34"/>
    <s v="Female"/>
    <s v="East"/>
    <s v="Moderate Spender"/>
    <s v="Often Engaged"/>
    <n v="1"/>
    <n v="2"/>
    <n v="3"/>
    <n v="46"/>
    <x v="0"/>
    <s v="45-54"/>
    <n v="3"/>
    <n v="53730.51263157896"/>
  </r>
  <r>
    <n v="68"/>
    <n v="35"/>
    <n v="79618.570000000007"/>
    <s v="Male"/>
    <s v="North"/>
    <s v="Low Spender"/>
    <s v="Never Engaged"/>
    <n v="0"/>
    <n v="0"/>
    <n v="2"/>
    <n v="46"/>
    <x v="1"/>
    <s v="35-44"/>
    <n v="0"/>
    <n v="42046.358571428573"/>
  </r>
  <r>
    <n v="69"/>
    <n v="43"/>
    <n v="79475.520000000004"/>
    <s v="Male"/>
    <s v="South"/>
    <s v="High Spender"/>
    <s v="Often Engaged"/>
    <n v="2"/>
    <n v="2"/>
    <n v="1"/>
    <n v="46"/>
    <x v="0"/>
    <s v="35-44"/>
    <n v="4"/>
    <n v="53730.51263157896"/>
  </r>
  <r>
    <n v="70"/>
    <n v="61"/>
    <n v="20901.330000000002"/>
    <s v="Male"/>
    <s v="East"/>
    <s v="Moderate Spender"/>
    <s v="Rarely Engaged"/>
    <n v="1"/>
    <n v="1"/>
    <n v="3"/>
    <n v="46"/>
    <x v="1"/>
    <s v="55+"/>
    <n v="2"/>
    <n v="42046.358571428573"/>
  </r>
  <r>
    <n v="71"/>
    <n v="51"/>
    <n v="38560.6"/>
    <s v="Female"/>
    <s v="South"/>
    <s v="High Spender"/>
    <s v="Often Engaged"/>
    <n v="2"/>
    <n v="2"/>
    <n v="3"/>
    <n v="46"/>
    <x v="0"/>
    <s v="45-54"/>
    <n v="4"/>
    <n v="53730.51263157896"/>
  </r>
  <r>
    <n v="72"/>
    <n v="27"/>
    <n v="52529.89"/>
    <s v="Male"/>
    <s v="East"/>
    <s v="High Spender"/>
    <s v="Often Engaged"/>
    <n v="2"/>
    <n v="2"/>
    <n v="1"/>
    <n v="46"/>
    <x v="3"/>
    <s v="25-34"/>
    <n v="4"/>
    <n v="50173.108"/>
  </r>
  <r>
    <n v="73"/>
    <n v="53"/>
    <n v="30171.85"/>
    <s v="Female"/>
    <s v="South"/>
    <s v="Moderate Spender"/>
    <s v="Rarely Engaged"/>
    <n v="1"/>
    <n v="1"/>
    <n v="3"/>
    <n v="46"/>
    <x v="0"/>
    <s v="45-54"/>
    <n v="2"/>
    <n v="53730.51263157896"/>
  </r>
  <r>
    <n v="74"/>
    <n v="31"/>
    <n v="39976.300000000003"/>
    <s v="Female"/>
    <s v="North"/>
    <s v="High Spender"/>
    <s v="Often Engaged"/>
    <n v="2"/>
    <n v="2"/>
    <n v="1"/>
    <n v="46"/>
    <x v="0"/>
    <s v="25-34"/>
    <n v="4"/>
    <n v="53730.51263157896"/>
  </r>
  <r>
    <n v="75"/>
    <n v="48"/>
    <n v="47940.63"/>
    <s v="Male"/>
    <s v="West"/>
    <s v="Low Spender"/>
    <s v="Rarely Engaged"/>
    <n v="0"/>
    <n v="1"/>
    <n v="0"/>
    <n v="46"/>
    <x v="1"/>
    <s v="45-54"/>
    <n v="1"/>
    <n v="42046.358571428573"/>
  </r>
  <r>
    <n v="76"/>
    <n v="32"/>
    <n v="71019.820000000007"/>
    <s v="Male"/>
    <s v="North"/>
    <s v="High Spender"/>
    <s v="Often Engaged"/>
    <n v="2"/>
    <n v="2"/>
    <n v="1"/>
    <n v="46"/>
    <x v="0"/>
    <s v="25-34"/>
    <n v="4"/>
    <n v="53730.51263157896"/>
  </r>
  <r>
    <n v="77"/>
    <n v="25"/>
    <n v="49318.96"/>
    <s v="Female"/>
    <s v="West"/>
    <s v="Moderate Spender"/>
    <s v="Never Engaged"/>
    <n v="1"/>
    <n v="0"/>
    <n v="2"/>
    <n v="46"/>
    <x v="1"/>
    <s v="25-34"/>
    <n v="1"/>
    <n v="42046.358571428573"/>
  </r>
  <r>
    <n v="78"/>
    <n v="31"/>
    <n v="53254.05"/>
    <s v="Male"/>
    <s v="South"/>
    <s v="Moderate Spender"/>
    <s v="Never Engaged"/>
    <n v="1"/>
    <n v="0"/>
    <n v="2"/>
    <n v="46"/>
    <x v="1"/>
    <s v="25-34"/>
    <n v="1"/>
    <n v="42046.358571428573"/>
  </r>
  <r>
    <n v="79"/>
    <n v="40"/>
    <n v="57686.36"/>
    <s v="Female"/>
    <s v="East"/>
    <s v="Moderate Spender"/>
    <s v="Often Engaged"/>
    <n v="1"/>
    <n v="2"/>
    <n v="1"/>
    <n v="46"/>
    <x v="0"/>
    <s v="35-44"/>
    <n v="3"/>
    <n v="53730.51263157896"/>
  </r>
  <r>
    <n v="80"/>
    <n v="57"/>
    <n v="58152.33"/>
    <s v="Female"/>
    <s v="North"/>
    <s v="High Spender"/>
    <s v="Often Engaged"/>
    <n v="2"/>
    <n v="2"/>
    <n v="3"/>
    <n v="46"/>
    <x v="0"/>
    <s v="55+"/>
    <n v="4"/>
    <n v="53730.51263157896"/>
  </r>
  <r>
    <n v="81"/>
    <n v="38"/>
    <n v="50421.49"/>
    <s v="Female"/>
    <s v="West"/>
    <s v="Moderate Spender"/>
    <s v="Often Engaged"/>
    <n v="1"/>
    <n v="2"/>
    <n v="1"/>
    <n v="46"/>
    <x v="0"/>
    <s v="35-44"/>
    <n v="3"/>
    <n v="53730.51263157896"/>
  </r>
  <r>
    <n v="82"/>
    <n v="33"/>
    <n v="32043.69"/>
    <s v="Female"/>
    <s v="North"/>
    <s v="Moderate Spender"/>
    <s v="Never Engaged"/>
    <n v="1"/>
    <n v="0"/>
    <n v="2"/>
    <n v="46"/>
    <x v="1"/>
    <s v="25-34"/>
    <n v="1"/>
    <n v="42046.358571428573"/>
  </r>
  <r>
    <n v="83"/>
    <n v="62"/>
    <n v="61845.09"/>
    <s v="Female"/>
    <s v="West"/>
    <s v="High Spender"/>
    <s v="Often Engaged"/>
    <n v="2"/>
    <n v="2"/>
    <n v="3"/>
    <n v="46"/>
    <x v="4"/>
    <s v="55+"/>
    <n v="4"/>
    <n v="54385.223333333328"/>
  </r>
  <r>
    <n v="84"/>
    <n v="35"/>
    <n v="56472.34"/>
    <s v="Male"/>
    <s v="North"/>
    <s v="Low Spender"/>
    <s v="Never Engaged"/>
    <n v="0"/>
    <n v="0"/>
    <n v="2"/>
    <n v="46"/>
    <x v="1"/>
    <s v="35-44"/>
    <n v="0"/>
    <n v="42046.358571428573"/>
  </r>
  <r>
    <n v="85"/>
    <n v="64"/>
    <n v="33548.720000000001"/>
    <s v="Male"/>
    <s v="West"/>
    <s v="High Spender"/>
    <s v="Rarely Engaged"/>
    <n v="2"/>
    <n v="1"/>
    <n v="3"/>
    <n v="46"/>
    <x v="4"/>
    <s v="55+"/>
    <n v="3"/>
    <n v="54385.223333333328"/>
  </r>
  <r>
    <n v="86"/>
    <n v="41"/>
    <n v="39765.480000000003"/>
    <s v="Female"/>
    <s v="West"/>
    <s v="Moderate Spender"/>
    <s v="Never Engaged"/>
    <n v="1"/>
    <n v="0"/>
    <n v="2"/>
    <n v="46"/>
    <x v="1"/>
    <s v="35-44"/>
    <n v="1"/>
    <n v="42046.358571428573"/>
  </r>
  <r>
    <n v="87"/>
    <n v="43"/>
    <n v="63312.67"/>
    <s v="Female"/>
    <s v="South"/>
    <s v="Moderate Spender"/>
    <s v="Never Engaged"/>
    <n v="1"/>
    <n v="0"/>
    <n v="2"/>
    <n v="46"/>
    <x v="1"/>
    <s v="35-44"/>
    <n v="1"/>
    <n v="42046.358571428573"/>
  </r>
  <r>
    <n v="88"/>
    <n v="42"/>
    <n v="59082.25"/>
    <s v="Male"/>
    <s v="West"/>
    <s v="High Spender"/>
    <s v="Rarely Engaged"/>
    <n v="2"/>
    <n v="1"/>
    <n v="1"/>
    <n v="46"/>
    <x v="0"/>
    <s v="35-44"/>
    <n v="3"/>
    <n v="53730.51263157896"/>
  </r>
  <r>
    <n v="89"/>
    <n v="62"/>
    <n v="39195.53"/>
    <s v="Male"/>
    <s v="South"/>
    <s v="Low Spender"/>
    <s v="Never Engaged"/>
    <n v="0"/>
    <n v="0"/>
    <n v="0"/>
    <n v="46"/>
    <x v="2"/>
    <s v="55+"/>
    <n v="0"/>
    <s v="No Data"/>
  </r>
  <r>
    <n v="90"/>
    <n v="58"/>
    <n v="45950.99"/>
    <s v="Female"/>
    <s v="West"/>
    <s v="Moderate Spender"/>
    <s v="Often Engaged"/>
    <n v="1"/>
    <n v="2"/>
    <n v="3"/>
    <n v="46"/>
    <x v="0"/>
    <s v="55+"/>
    <n v="3"/>
    <n v="53730.51263157896"/>
  </r>
  <r>
    <n v="91"/>
    <n v="46"/>
    <n v="47848.07"/>
    <s v="Male"/>
    <s v="East"/>
    <s v="Moderate Spender"/>
    <s v="Often Engaged"/>
    <n v="1"/>
    <n v="2"/>
    <n v="3"/>
    <n v="46"/>
    <x v="0"/>
    <s v="45-54"/>
    <n v="3"/>
    <n v="53730.51263157896"/>
  </r>
  <r>
    <n v="92"/>
    <n v="32"/>
    <n v="59255.06"/>
    <s v="Female"/>
    <s v="East"/>
    <s v="Moderate Spender"/>
    <s v="Never Engaged"/>
    <n v="1"/>
    <n v="0"/>
    <n v="2"/>
    <n v="46"/>
    <x v="1"/>
    <s v="25-34"/>
    <n v="1"/>
    <n v="42046.358571428573"/>
  </r>
  <r>
    <n v="93"/>
    <n v="62"/>
    <n v="68734.11"/>
    <s v="Male"/>
    <s v="East"/>
    <s v="High Spender"/>
    <s v="Often Engaged"/>
    <n v="2"/>
    <n v="2"/>
    <n v="3"/>
    <n v="46"/>
    <x v="4"/>
    <s v="55+"/>
    <n v="4"/>
    <n v="54385.223333333328"/>
  </r>
  <r>
    <n v="94"/>
    <n v="18"/>
    <n v="50984.74"/>
    <s v="Female"/>
    <s v="West"/>
    <s v="Moderate Spender"/>
    <s v="Never Engaged"/>
    <n v="1"/>
    <n v="0"/>
    <n v="2"/>
    <n v="46"/>
    <x v="1"/>
    <s v="18-24"/>
    <n v="1"/>
    <n v="42046.358571428573"/>
  </r>
  <r>
    <n v="95"/>
    <n v="42"/>
    <n v="67538.11"/>
    <s v="Male"/>
    <s v="South"/>
    <s v="Low Spender"/>
    <s v="Often Engaged"/>
    <n v="0"/>
    <n v="2"/>
    <n v="0"/>
    <n v="46"/>
    <x v="0"/>
    <s v="35-44"/>
    <n v="2"/>
    <n v="53730.51263157896"/>
  </r>
  <r>
    <n v="96"/>
    <n v="24"/>
    <n v="63099.75"/>
    <s v="Female"/>
    <s v="South"/>
    <s v="Moderate Spender"/>
    <s v="Often Engaged"/>
    <n v="1"/>
    <n v="2"/>
    <n v="1"/>
    <n v="46"/>
    <x v="3"/>
    <s v="18-24"/>
    <n v="3"/>
    <n v="50173.108"/>
  </r>
  <r>
    <n v="97"/>
    <n v="26"/>
    <n v="53084.75"/>
    <s v="Male"/>
    <s v="West"/>
    <s v="Moderate Spender"/>
    <s v="Never Engaged"/>
    <n v="1"/>
    <n v="0"/>
    <n v="2"/>
    <n v="46"/>
    <x v="1"/>
    <s v="25-34"/>
    <n v="1"/>
    <n v="42046.358571428573"/>
  </r>
  <r>
    <n v="98"/>
    <n v="41"/>
    <n v="28347.75"/>
    <s v="Male"/>
    <s v="East"/>
    <s v="Low Spender"/>
    <s v="Often Engaged"/>
    <n v="0"/>
    <n v="2"/>
    <n v="0"/>
    <n v="46"/>
    <x v="0"/>
    <s v="35-44"/>
    <n v="2"/>
    <n v="53730.51263157896"/>
  </r>
  <r>
    <n v="99"/>
    <n v="18"/>
    <n v="34584.339999999997"/>
    <s v="Female"/>
    <s v="East"/>
    <s v="Moderate Spender"/>
    <s v="Never Engaged"/>
    <n v="1"/>
    <n v="0"/>
    <n v="2"/>
    <n v="46"/>
    <x v="1"/>
    <s v="18-24"/>
    <n v="1"/>
    <n v="42046.358571428573"/>
  </r>
  <r>
    <n v="100"/>
    <n v="61"/>
    <n v="61118.61"/>
    <s v="Male"/>
    <s v="South"/>
    <s v="High Spender"/>
    <s v="Often Engaged"/>
    <n v="2"/>
    <n v="2"/>
    <n v="3"/>
    <n v="46"/>
    <x v="4"/>
    <s v="55+"/>
    <n v="4"/>
    <n v="54385.22333333332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56"/>
    <n v="59544.58"/>
    <s v="Female"/>
    <x v="0"/>
    <s v="Low Spender"/>
    <s v="Often Engaged"/>
    <x v="0"/>
    <n v="2"/>
    <x v="0"/>
    <n v="46"/>
    <x v="0"/>
    <s v="55+"/>
    <n v="2"/>
    <n v="53730.51263157896"/>
  </r>
  <r>
    <n v="2"/>
    <n v="46"/>
    <n v="36399.19"/>
    <s v="Female"/>
    <x v="1"/>
    <s v="High Spender"/>
    <s v="Often Engaged"/>
    <x v="1"/>
    <n v="2"/>
    <x v="1"/>
    <n v="46"/>
    <x v="0"/>
    <s v="45-54"/>
    <n v="4"/>
    <n v="53730.51263157896"/>
  </r>
  <r>
    <n v="3"/>
    <n v="32"/>
    <n v="57140.639999999999"/>
    <s v="Female"/>
    <x v="0"/>
    <s v="Moderate Spender"/>
    <s v="Never Engaged"/>
    <x v="2"/>
    <n v="0"/>
    <x v="2"/>
    <n v="46"/>
    <x v="1"/>
    <s v="25-34"/>
    <n v="1"/>
    <n v="42046.358571428573"/>
  </r>
  <r>
    <n v="4"/>
    <n v="60"/>
    <n v="69554.92"/>
    <s v="Male"/>
    <x v="1"/>
    <s v="Low Spender"/>
    <s v="Rarely Engaged"/>
    <x v="0"/>
    <n v="1"/>
    <x v="0"/>
    <n v="46"/>
    <x v="2"/>
    <s v="55+"/>
    <n v="1"/>
    <s v="No Data"/>
  </r>
  <r>
    <n v="5"/>
    <n v="25"/>
    <n v="53173.81"/>
    <s v="Female"/>
    <x v="0"/>
    <s v="Moderate Spender"/>
    <s v="Often Engaged"/>
    <x v="2"/>
    <n v="2"/>
    <x v="3"/>
    <n v="46"/>
    <x v="3"/>
    <s v="25-34"/>
    <n v="3"/>
    <n v="50173.108"/>
  </r>
  <r>
    <n v="6"/>
    <n v="38"/>
    <n v="58955.67"/>
    <s v="Female"/>
    <x v="2"/>
    <s v="High Spender"/>
    <s v="Never Engaged"/>
    <x v="1"/>
    <n v="0"/>
    <x v="2"/>
    <n v="46"/>
    <x v="0"/>
    <s v="35-44"/>
    <n v="2"/>
    <n v="53730.51263157896"/>
  </r>
  <r>
    <n v="7"/>
    <n v="56"/>
    <n v="36554.97"/>
    <s v="Male"/>
    <x v="0"/>
    <s v="Moderate Spender"/>
    <s v="Rarely Engaged"/>
    <x v="2"/>
    <n v="1"/>
    <x v="1"/>
    <n v="46"/>
    <x v="0"/>
    <s v="55+"/>
    <n v="2"/>
    <n v="53730.51263157896"/>
  </r>
  <r>
    <n v="8"/>
    <n v="36"/>
    <n v="48320.18"/>
    <s v="Female"/>
    <x v="2"/>
    <s v="Moderate Spender"/>
    <s v="Never Engaged"/>
    <x v="2"/>
    <n v="0"/>
    <x v="2"/>
    <n v="46"/>
    <x v="1"/>
    <s v="35-44"/>
    <n v="1"/>
    <n v="42046.358571428573"/>
  </r>
  <r>
    <n v="9"/>
    <n v="40"/>
    <n v="72034.12"/>
    <s v="Male"/>
    <x v="0"/>
    <s v="Moderate Spender"/>
    <s v="Often Engaged"/>
    <x v="2"/>
    <n v="2"/>
    <x v="3"/>
    <n v="46"/>
    <x v="0"/>
    <s v="35-44"/>
    <n v="3"/>
    <n v="53730.51263157896"/>
  </r>
  <r>
    <n v="10"/>
    <n v="28"/>
    <n v="33141.519999999997"/>
    <s v="Female"/>
    <x v="0"/>
    <s v="Moderate Spender"/>
    <s v="Often Engaged"/>
    <x v="2"/>
    <n v="2"/>
    <x v="3"/>
    <n v="46"/>
    <x v="3"/>
    <s v="25-34"/>
    <n v="3"/>
    <n v="50173.108"/>
  </r>
  <r>
    <n v="11"/>
    <n v="28"/>
    <n v="64250.080000000002"/>
    <s v="Female"/>
    <x v="3"/>
    <s v="High Spender"/>
    <s v="Often Engaged"/>
    <x v="1"/>
    <n v="2"/>
    <x v="3"/>
    <n v="46"/>
    <x v="3"/>
    <s v="25-34"/>
    <n v="4"/>
    <n v="50173.108"/>
  </r>
  <r>
    <n v="12"/>
    <n v="41"/>
    <n v="75897.75"/>
    <s v="Female"/>
    <x v="2"/>
    <s v="Moderate Spender"/>
    <s v="Never Engaged"/>
    <x v="2"/>
    <n v="0"/>
    <x v="2"/>
    <n v="46"/>
    <x v="1"/>
    <s v="35-44"/>
    <n v="1"/>
    <n v="42046.358571428573"/>
  </r>
  <r>
    <n v="13"/>
    <n v="53"/>
    <n v="56868.28"/>
    <s v="Male"/>
    <x v="3"/>
    <s v="Moderate Spender"/>
    <s v="Never Engaged"/>
    <x v="2"/>
    <n v="0"/>
    <x v="2"/>
    <n v="46"/>
    <x v="1"/>
    <s v="45-54"/>
    <n v="1"/>
    <n v="42046.358571428573"/>
  </r>
  <r>
    <n v="14"/>
    <n v="57"/>
    <n v="24735.69"/>
    <s v="Male"/>
    <x v="2"/>
    <s v="Low Spender"/>
    <s v="Often Engaged"/>
    <x v="0"/>
    <n v="2"/>
    <x v="0"/>
    <n v="46"/>
    <x v="0"/>
    <s v="55+"/>
    <n v="2"/>
    <n v="53730.51263157896"/>
  </r>
  <r>
    <n v="15"/>
    <n v="41"/>
    <n v="54902.68"/>
    <s v="Female"/>
    <x v="3"/>
    <s v="Moderate Spender"/>
    <s v="Never Engaged"/>
    <x v="2"/>
    <n v="0"/>
    <x v="2"/>
    <n v="46"/>
    <x v="1"/>
    <s v="35-44"/>
    <n v="1"/>
    <n v="42046.358571428573"/>
  </r>
  <r>
    <n v="16"/>
    <n v="20"/>
    <n v="48783.22"/>
    <s v="Male"/>
    <x v="1"/>
    <s v="Low Spender"/>
    <s v="Often Engaged"/>
    <x v="0"/>
    <n v="2"/>
    <x v="0"/>
    <n v="46"/>
    <x v="1"/>
    <s v="18-24"/>
    <n v="2"/>
    <n v="42046.358571428573"/>
  </r>
  <r>
    <n v="17"/>
    <n v="39"/>
    <n v="57016.92"/>
    <s v="Male"/>
    <x v="0"/>
    <s v="High Spender"/>
    <s v="Often Engaged"/>
    <x v="1"/>
    <n v="2"/>
    <x v="3"/>
    <n v="46"/>
    <x v="0"/>
    <s v="35-44"/>
    <n v="4"/>
    <n v="53730.51263157896"/>
  </r>
  <r>
    <n v="18"/>
    <n v="19"/>
    <n v="61041.84"/>
    <s v="Male"/>
    <x v="2"/>
    <s v="High Spender"/>
    <s v="Rarely Engaged"/>
    <x v="1"/>
    <n v="1"/>
    <x v="3"/>
    <n v="46"/>
    <x v="3"/>
    <s v="18-24"/>
    <n v="3"/>
    <n v="50173.108"/>
  </r>
  <r>
    <n v="19"/>
    <n v="41"/>
    <n v="38304.47"/>
    <s v="Male"/>
    <x v="2"/>
    <s v="High Spender"/>
    <s v="Never Engaged"/>
    <x v="1"/>
    <n v="0"/>
    <x v="2"/>
    <n v="46"/>
    <x v="0"/>
    <s v="35-44"/>
    <n v="2"/>
    <n v="53730.51263157896"/>
  </r>
  <r>
    <n v="20"/>
    <n v="61"/>
    <n v="37341.550000000003"/>
    <s v="Male"/>
    <x v="0"/>
    <s v="High Spender"/>
    <s v="Often Engaged"/>
    <x v="1"/>
    <n v="2"/>
    <x v="1"/>
    <n v="46"/>
    <x v="4"/>
    <s v="55+"/>
    <n v="4"/>
    <n v="54385.223333333328"/>
  </r>
  <r>
    <n v="21"/>
    <n v="47"/>
    <n v="47741.99"/>
    <s v="Male"/>
    <x v="2"/>
    <s v="Low Spender"/>
    <s v="Often Engaged"/>
    <x v="0"/>
    <n v="2"/>
    <x v="0"/>
    <n v="46"/>
    <x v="0"/>
    <s v="45-54"/>
    <n v="2"/>
    <n v="53730.51263157896"/>
  </r>
  <r>
    <n v="22"/>
    <n v="55"/>
    <n v="35516.629999999997"/>
    <s v="Female"/>
    <x v="2"/>
    <s v="Moderate Spender"/>
    <s v="Never Engaged"/>
    <x v="2"/>
    <n v="0"/>
    <x v="2"/>
    <n v="46"/>
    <x v="1"/>
    <s v="55+"/>
    <n v="1"/>
    <n v="42046.358571428573"/>
  </r>
  <r>
    <n v="23"/>
    <n v="19"/>
    <n v="52257.34"/>
    <s v="Female"/>
    <x v="3"/>
    <s v="High Spender"/>
    <s v="Rarely Engaged"/>
    <x v="1"/>
    <n v="1"/>
    <x v="3"/>
    <n v="46"/>
    <x v="3"/>
    <s v="18-24"/>
    <n v="3"/>
    <n v="50173.108"/>
  </r>
  <r>
    <n v="24"/>
    <n v="38"/>
    <n v="48298.68"/>
    <s v="Male"/>
    <x v="2"/>
    <s v="Moderate Spender"/>
    <s v="Rarely Engaged"/>
    <x v="2"/>
    <n v="1"/>
    <x v="2"/>
    <n v="46"/>
    <x v="0"/>
    <s v="35-44"/>
    <n v="2"/>
    <n v="53730.51263157896"/>
  </r>
  <r>
    <n v="25"/>
    <n v="50"/>
    <n v="89502.92"/>
    <s v="Female"/>
    <x v="1"/>
    <s v="Low Spender"/>
    <s v="Often Engaged"/>
    <x v="0"/>
    <n v="2"/>
    <x v="0"/>
    <n v="46"/>
    <x v="0"/>
    <s v="45-54"/>
    <n v="2"/>
    <n v="53730.51263157896"/>
  </r>
  <r>
    <n v="26"/>
    <n v="29"/>
    <n v="34623.64"/>
    <s v="Female"/>
    <x v="1"/>
    <s v="Low Spender"/>
    <s v="Never Engaged"/>
    <x v="0"/>
    <n v="0"/>
    <x v="2"/>
    <n v="46"/>
    <x v="1"/>
    <s v="25-34"/>
    <n v="0"/>
    <n v="42046.358571428573"/>
  </r>
  <r>
    <n v="27"/>
    <n v="39"/>
    <n v="38269.279999999999"/>
    <s v="Female"/>
    <x v="0"/>
    <s v="Low Spender"/>
    <s v="Rarely Engaged"/>
    <x v="0"/>
    <n v="1"/>
    <x v="0"/>
    <n v="46"/>
    <x v="1"/>
    <s v="35-44"/>
    <n v="1"/>
    <n v="42046.358571428573"/>
  </r>
  <r>
    <n v="28"/>
    <n v="61"/>
    <n v="56359.15"/>
    <s v="Female"/>
    <x v="2"/>
    <s v="High Spender"/>
    <s v="Never Engaged"/>
    <x v="1"/>
    <n v="0"/>
    <x v="1"/>
    <n v="46"/>
    <x v="1"/>
    <s v="55+"/>
    <n v="2"/>
    <n v="42046.358571428573"/>
  </r>
  <r>
    <n v="29"/>
    <n v="42"/>
    <n v="63090.58"/>
    <s v="Male"/>
    <x v="0"/>
    <s v="Moderate Spender"/>
    <s v="Never Engaged"/>
    <x v="2"/>
    <n v="0"/>
    <x v="2"/>
    <n v="46"/>
    <x v="1"/>
    <s v="35-44"/>
    <n v="1"/>
    <n v="42046.358571428573"/>
  </r>
  <r>
    <n v="30"/>
    <n v="44"/>
    <n v="84308.39"/>
    <s v="Female"/>
    <x v="1"/>
    <s v="Moderate Spender"/>
    <s v="Often Engaged"/>
    <x v="2"/>
    <n v="2"/>
    <x v="3"/>
    <n v="46"/>
    <x v="0"/>
    <s v="35-44"/>
    <n v="3"/>
    <n v="53730.51263157896"/>
  </r>
  <r>
    <n v="31"/>
    <n v="59"/>
    <n v="74343.81"/>
    <s v="Female"/>
    <x v="2"/>
    <s v="Moderate Spender"/>
    <s v="Rarely Engaged"/>
    <x v="2"/>
    <n v="1"/>
    <x v="1"/>
    <n v="46"/>
    <x v="0"/>
    <s v="55+"/>
    <n v="2"/>
    <n v="53730.51263157896"/>
  </r>
  <r>
    <n v="32"/>
    <n v="45"/>
    <n v="62356"/>
    <s v="Male"/>
    <x v="2"/>
    <s v="Low Spender"/>
    <s v="Often Engaged"/>
    <x v="0"/>
    <n v="2"/>
    <x v="0"/>
    <n v="46"/>
    <x v="0"/>
    <s v="45-54"/>
    <n v="2"/>
    <n v="53730.51263157896"/>
  </r>
  <r>
    <n v="33"/>
    <n v="33"/>
    <n v="54395.89"/>
    <s v="Male"/>
    <x v="0"/>
    <s v="High Spender"/>
    <s v="Rarely Engaged"/>
    <x v="1"/>
    <n v="1"/>
    <x v="3"/>
    <n v="46"/>
    <x v="0"/>
    <s v="25-34"/>
    <n v="3"/>
    <n v="53730.51263157896"/>
  </r>
  <r>
    <n v="34"/>
    <n v="32"/>
    <n v="63449.46"/>
    <s v="Female"/>
    <x v="1"/>
    <s v="Low Spender"/>
    <s v="Rarely Engaged"/>
    <x v="0"/>
    <n v="1"/>
    <x v="0"/>
    <n v="46"/>
    <x v="1"/>
    <s v="25-34"/>
    <n v="1"/>
    <n v="42046.358571428573"/>
  </r>
  <r>
    <n v="35"/>
    <n v="64"/>
    <n v="40845.17"/>
    <s v="Female"/>
    <x v="2"/>
    <s v="Low Spender"/>
    <s v="Rarely Engaged"/>
    <x v="0"/>
    <n v="1"/>
    <x v="0"/>
    <n v="46"/>
    <x v="2"/>
    <s v="55+"/>
    <n v="1"/>
    <s v="No Data"/>
  </r>
  <r>
    <n v="36"/>
    <n v="61"/>
    <n v="45257.51"/>
    <s v="Female"/>
    <x v="0"/>
    <s v="Moderate Spender"/>
    <s v="Rarely Engaged"/>
    <x v="2"/>
    <n v="1"/>
    <x v="1"/>
    <n v="46"/>
    <x v="1"/>
    <s v="55+"/>
    <n v="2"/>
    <n v="42046.358571428573"/>
  </r>
  <r>
    <n v="37"/>
    <n v="20"/>
    <n v="27763.64"/>
    <s v="Female"/>
    <x v="1"/>
    <s v="Low Spender"/>
    <s v="Rarely Engaged"/>
    <x v="0"/>
    <n v="1"/>
    <x v="0"/>
    <n v="46"/>
    <x v="1"/>
    <s v="18-24"/>
    <n v="1"/>
    <n v="42046.358571428573"/>
  </r>
  <r>
    <n v="38"/>
    <n v="54"/>
    <n v="46567.29"/>
    <s v="Female"/>
    <x v="0"/>
    <s v="Moderate Spender"/>
    <s v="Never Engaged"/>
    <x v="2"/>
    <n v="0"/>
    <x v="2"/>
    <n v="46"/>
    <x v="1"/>
    <s v="45-54"/>
    <n v="1"/>
    <n v="42046.358571428573"/>
  </r>
  <r>
    <n v="39"/>
    <n v="24"/>
    <n v="64439.62"/>
    <s v="Female"/>
    <x v="3"/>
    <s v="High Spender"/>
    <s v="Often Engaged"/>
    <x v="1"/>
    <n v="2"/>
    <x v="3"/>
    <n v="46"/>
    <x v="3"/>
    <s v="18-24"/>
    <n v="4"/>
    <n v="50173.108"/>
  </r>
  <r>
    <n v="40"/>
    <n v="38"/>
    <n v="46854.61"/>
    <s v="Male"/>
    <x v="2"/>
    <s v="Moderate Spender"/>
    <s v="Never Engaged"/>
    <x v="2"/>
    <n v="0"/>
    <x v="2"/>
    <n v="46"/>
    <x v="1"/>
    <s v="35-44"/>
    <n v="1"/>
    <n v="42046.358571428573"/>
  </r>
  <r>
    <n v="41"/>
    <n v="26"/>
    <n v="38389.360000000001"/>
    <s v="Female"/>
    <x v="3"/>
    <s v="High Spender"/>
    <s v="Rarely Engaged"/>
    <x v="1"/>
    <n v="1"/>
    <x v="3"/>
    <n v="46"/>
    <x v="3"/>
    <s v="25-34"/>
    <n v="3"/>
    <n v="50173.108"/>
  </r>
  <r>
    <n v="42"/>
    <n v="56"/>
    <n v="44603.33"/>
    <s v="Female"/>
    <x v="1"/>
    <s v="Moderate Spender"/>
    <s v="Often Engaged"/>
    <x v="2"/>
    <n v="2"/>
    <x v="1"/>
    <n v="46"/>
    <x v="0"/>
    <s v="55+"/>
    <n v="3"/>
    <n v="53730.51263157896"/>
  </r>
  <r>
    <n v="43"/>
    <n v="35"/>
    <n v="60861.25"/>
    <s v="Male"/>
    <x v="3"/>
    <s v="Low Spender"/>
    <s v="Rarely Engaged"/>
    <x v="0"/>
    <n v="1"/>
    <x v="0"/>
    <n v="46"/>
    <x v="1"/>
    <s v="35-44"/>
    <n v="1"/>
    <n v="42046.358571428573"/>
  </r>
  <r>
    <n v="44"/>
    <n v="21"/>
    <n v="46163.53"/>
    <s v="Male"/>
    <x v="3"/>
    <s v="Low Spender"/>
    <s v="Often Engaged"/>
    <x v="0"/>
    <n v="2"/>
    <x v="0"/>
    <n v="46"/>
    <x v="1"/>
    <s v="18-24"/>
    <n v="2"/>
    <n v="42046.358571428573"/>
  </r>
  <r>
    <n v="45"/>
    <n v="42"/>
    <n v="62748.82"/>
    <s v="Male"/>
    <x v="1"/>
    <s v="High Spender"/>
    <s v="Never Engaged"/>
    <x v="1"/>
    <n v="0"/>
    <x v="2"/>
    <n v="46"/>
    <x v="0"/>
    <s v="35-44"/>
    <n v="2"/>
    <n v="53730.51263157896"/>
  </r>
  <r>
    <n v="46"/>
    <n v="31"/>
    <n v="30330.14"/>
    <s v="Male"/>
    <x v="0"/>
    <s v="High Spender"/>
    <s v="Often Engaged"/>
    <x v="1"/>
    <n v="2"/>
    <x v="3"/>
    <n v="46"/>
    <x v="0"/>
    <s v="25-34"/>
    <n v="4"/>
    <n v="53730.51263157896"/>
  </r>
  <r>
    <n v="47"/>
    <n v="26"/>
    <n v="36945.43"/>
    <s v="Female"/>
    <x v="3"/>
    <s v="High Spender"/>
    <s v="Often Engaged"/>
    <x v="1"/>
    <n v="2"/>
    <x v="3"/>
    <n v="46"/>
    <x v="3"/>
    <s v="25-34"/>
    <n v="4"/>
    <n v="50173.108"/>
  </r>
  <r>
    <n v="48"/>
    <n v="43"/>
    <n v="42400.35"/>
    <s v="Female"/>
    <x v="0"/>
    <s v="Moderate Spender"/>
    <s v="Often Engaged"/>
    <x v="2"/>
    <n v="2"/>
    <x v="1"/>
    <n v="46"/>
    <x v="0"/>
    <s v="35-44"/>
    <n v="3"/>
    <n v="53730.51263157896"/>
  </r>
  <r>
    <n v="49"/>
    <n v="19"/>
    <n v="30350.74"/>
    <s v="Female"/>
    <x v="3"/>
    <s v="Moderate Spender"/>
    <s v="Often Engaged"/>
    <x v="2"/>
    <n v="2"/>
    <x v="3"/>
    <n v="46"/>
    <x v="3"/>
    <s v="18-24"/>
    <n v="3"/>
    <n v="50173.108"/>
  </r>
  <r>
    <n v="50"/>
    <n v="37"/>
    <n v="94154.95"/>
    <s v="Female"/>
    <x v="0"/>
    <s v="High Spender"/>
    <s v="Often Engaged"/>
    <x v="1"/>
    <n v="2"/>
    <x v="3"/>
    <n v="46"/>
    <x v="0"/>
    <s v="35-44"/>
    <n v="4"/>
    <n v="53730.51263157896"/>
  </r>
  <r>
    <n v="51"/>
    <n v="45"/>
    <n v="33556.01"/>
    <s v="Female"/>
    <x v="1"/>
    <s v="Low Spender"/>
    <s v="Rarely Engaged"/>
    <x v="0"/>
    <n v="1"/>
    <x v="0"/>
    <n v="46"/>
    <x v="1"/>
    <s v="45-54"/>
    <n v="1"/>
    <n v="42046.358571428573"/>
  </r>
  <r>
    <n v="52"/>
    <n v="64"/>
    <n v="63723.26"/>
    <s v="Female"/>
    <x v="3"/>
    <s v="Moderate Spender"/>
    <s v="Often Engaged"/>
    <x v="2"/>
    <n v="2"/>
    <x v="1"/>
    <n v="46"/>
    <x v="4"/>
    <s v="55+"/>
    <n v="3"/>
    <n v="54385.223333333328"/>
  </r>
  <r>
    <n v="53"/>
    <n v="24"/>
    <n v="40009.089999999997"/>
    <s v="Male"/>
    <x v="1"/>
    <s v="Moderate Spender"/>
    <s v="Often Engaged"/>
    <x v="2"/>
    <n v="2"/>
    <x v="3"/>
    <n v="46"/>
    <x v="3"/>
    <s v="18-24"/>
    <n v="3"/>
    <n v="50173.108"/>
  </r>
  <r>
    <n v="54"/>
    <n v="61"/>
    <n v="42293.19"/>
    <s v="Female"/>
    <x v="3"/>
    <s v="Moderate Spender"/>
    <s v="Never Engaged"/>
    <x v="2"/>
    <n v="0"/>
    <x v="2"/>
    <n v="46"/>
    <x v="2"/>
    <s v="55+"/>
    <n v="1"/>
    <s v="No Data"/>
  </r>
  <r>
    <n v="55"/>
    <n v="25"/>
    <n v="54519.839999999997"/>
    <s v="Male"/>
    <x v="1"/>
    <s v="High Spender"/>
    <s v="Often Engaged"/>
    <x v="1"/>
    <n v="2"/>
    <x v="3"/>
    <n v="46"/>
    <x v="3"/>
    <s v="25-34"/>
    <n v="4"/>
    <n v="50173.108"/>
  </r>
  <r>
    <n v="56"/>
    <n v="64"/>
    <n v="28122.25"/>
    <s v="Male"/>
    <x v="1"/>
    <s v="High Spender"/>
    <s v="Never Engaged"/>
    <x v="1"/>
    <n v="0"/>
    <x v="1"/>
    <n v="46"/>
    <x v="1"/>
    <s v="55+"/>
    <n v="2"/>
    <n v="42046.358571428573"/>
  </r>
  <r>
    <n v="57"/>
    <n v="52"/>
    <n v="40058.93"/>
    <s v="Female"/>
    <x v="3"/>
    <s v="High Spender"/>
    <s v="Rarely Engaged"/>
    <x v="1"/>
    <n v="1"/>
    <x v="1"/>
    <n v="46"/>
    <x v="0"/>
    <s v="45-54"/>
    <n v="3"/>
    <n v="53730.51263157896"/>
  </r>
  <r>
    <n v="58"/>
    <n v="31"/>
    <n v="47802.91"/>
    <s v="Male"/>
    <x v="3"/>
    <s v="High Spender"/>
    <s v="Often Engaged"/>
    <x v="1"/>
    <n v="2"/>
    <x v="3"/>
    <n v="46"/>
    <x v="0"/>
    <s v="25-34"/>
    <n v="4"/>
    <n v="53730.51263157896"/>
  </r>
  <r>
    <n v="59"/>
    <n v="34"/>
    <n v="37309.74"/>
    <s v="Female"/>
    <x v="3"/>
    <s v="High Spender"/>
    <s v="Never Engaged"/>
    <x v="1"/>
    <n v="0"/>
    <x v="2"/>
    <n v="46"/>
    <x v="0"/>
    <s v="25-34"/>
    <n v="2"/>
    <n v="53730.51263157896"/>
  </r>
  <r>
    <n v="60"/>
    <n v="53"/>
    <n v="37662.660000000003"/>
    <s v="Male"/>
    <x v="2"/>
    <s v="Low Spender"/>
    <s v="Never Engaged"/>
    <x v="0"/>
    <n v="0"/>
    <x v="0"/>
    <n v="46"/>
    <x v="1"/>
    <s v="45-54"/>
    <n v="0"/>
    <n v="42046.358571428573"/>
  </r>
  <r>
    <n v="61"/>
    <n v="57"/>
    <n v="66300.91"/>
    <s v="Female"/>
    <x v="0"/>
    <s v="Low Spender"/>
    <s v="Rarely Engaged"/>
    <x v="0"/>
    <n v="1"/>
    <x v="0"/>
    <n v="46"/>
    <x v="1"/>
    <s v="55+"/>
    <n v="1"/>
    <n v="42046.358571428573"/>
  </r>
  <r>
    <n v="62"/>
    <n v="21"/>
    <n v="65074.8"/>
    <s v="Male"/>
    <x v="2"/>
    <s v="High Spender"/>
    <s v="Often Engaged"/>
    <x v="1"/>
    <n v="2"/>
    <x v="3"/>
    <n v="46"/>
    <x v="3"/>
    <s v="18-24"/>
    <n v="4"/>
    <n v="50173.108"/>
  </r>
  <r>
    <n v="63"/>
    <n v="19"/>
    <n v="43373.51"/>
    <s v="Female"/>
    <x v="2"/>
    <s v="Moderate Spender"/>
    <s v="Often Engaged"/>
    <x v="2"/>
    <n v="2"/>
    <x v="3"/>
    <n v="46"/>
    <x v="3"/>
    <s v="18-24"/>
    <n v="3"/>
    <n v="50173.108"/>
  </r>
  <r>
    <n v="64"/>
    <n v="23"/>
    <n v="48737.52"/>
    <s v="Female"/>
    <x v="1"/>
    <s v="High Spender"/>
    <s v="Never Engaged"/>
    <x v="1"/>
    <n v="0"/>
    <x v="2"/>
    <n v="46"/>
    <x v="1"/>
    <s v="18-24"/>
    <n v="2"/>
    <n v="42046.358571428573"/>
  </r>
  <r>
    <n v="65"/>
    <n v="59"/>
    <n v="68555.240000000005"/>
    <s v="Female"/>
    <x v="3"/>
    <s v="Low Spender"/>
    <s v="Often Engaged"/>
    <x v="0"/>
    <n v="2"/>
    <x v="0"/>
    <n v="46"/>
    <x v="0"/>
    <s v="55+"/>
    <n v="2"/>
    <n v="53730.51263157896"/>
  </r>
  <r>
    <n v="66"/>
    <n v="21"/>
    <n v="28602.82"/>
    <s v="Female"/>
    <x v="0"/>
    <s v="Low Spender"/>
    <s v="Never Engaged"/>
    <x v="0"/>
    <n v="0"/>
    <x v="2"/>
    <n v="46"/>
    <x v="1"/>
    <s v="18-24"/>
    <n v="0"/>
    <n v="42046.358571428573"/>
  </r>
  <r>
    <n v="67"/>
    <n v="46"/>
    <n v="55070.34"/>
    <s v="Female"/>
    <x v="1"/>
    <s v="Moderate Spender"/>
    <s v="Often Engaged"/>
    <x v="2"/>
    <n v="2"/>
    <x v="1"/>
    <n v="46"/>
    <x v="0"/>
    <s v="45-54"/>
    <n v="3"/>
    <n v="53730.51263157896"/>
  </r>
  <r>
    <n v="68"/>
    <n v="35"/>
    <n v="79618.570000000007"/>
    <s v="Male"/>
    <x v="2"/>
    <s v="Low Spender"/>
    <s v="Never Engaged"/>
    <x v="0"/>
    <n v="0"/>
    <x v="2"/>
    <n v="46"/>
    <x v="1"/>
    <s v="35-44"/>
    <n v="0"/>
    <n v="42046.358571428573"/>
  </r>
  <r>
    <n v="69"/>
    <n v="43"/>
    <n v="79475.520000000004"/>
    <s v="Male"/>
    <x v="3"/>
    <s v="High Spender"/>
    <s v="Often Engaged"/>
    <x v="1"/>
    <n v="2"/>
    <x v="3"/>
    <n v="46"/>
    <x v="0"/>
    <s v="35-44"/>
    <n v="4"/>
    <n v="53730.51263157896"/>
  </r>
  <r>
    <n v="70"/>
    <n v="61"/>
    <n v="20901.330000000002"/>
    <s v="Male"/>
    <x v="1"/>
    <s v="Moderate Spender"/>
    <s v="Rarely Engaged"/>
    <x v="2"/>
    <n v="1"/>
    <x v="1"/>
    <n v="46"/>
    <x v="1"/>
    <s v="55+"/>
    <n v="2"/>
    <n v="42046.358571428573"/>
  </r>
  <r>
    <n v="71"/>
    <n v="51"/>
    <n v="38560.6"/>
    <s v="Female"/>
    <x v="3"/>
    <s v="High Spender"/>
    <s v="Often Engaged"/>
    <x v="1"/>
    <n v="2"/>
    <x v="1"/>
    <n v="46"/>
    <x v="0"/>
    <s v="45-54"/>
    <n v="4"/>
    <n v="53730.51263157896"/>
  </r>
  <r>
    <n v="72"/>
    <n v="27"/>
    <n v="52529.89"/>
    <s v="Male"/>
    <x v="1"/>
    <s v="High Spender"/>
    <s v="Often Engaged"/>
    <x v="1"/>
    <n v="2"/>
    <x v="3"/>
    <n v="46"/>
    <x v="3"/>
    <s v="25-34"/>
    <n v="4"/>
    <n v="50173.108"/>
  </r>
  <r>
    <n v="73"/>
    <n v="53"/>
    <n v="30171.85"/>
    <s v="Female"/>
    <x v="3"/>
    <s v="Moderate Spender"/>
    <s v="Rarely Engaged"/>
    <x v="2"/>
    <n v="1"/>
    <x v="1"/>
    <n v="46"/>
    <x v="0"/>
    <s v="45-54"/>
    <n v="2"/>
    <n v="53730.51263157896"/>
  </r>
  <r>
    <n v="74"/>
    <n v="31"/>
    <n v="39976.300000000003"/>
    <s v="Female"/>
    <x v="2"/>
    <s v="High Spender"/>
    <s v="Often Engaged"/>
    <x v="1"/>
    <n v="2"/>
    <x v="3"/>
    <n v="46"/>
    <x v="0"/>
    <s v="25-34"/>
    <n v="4"/>
    <n v="53730.51263157896"/>
  </r>
  <r>
    <n v="75"/>
    <n v="48"/>
    <n v="47940.63"/>
    <s v="Male"/>
    <x v="0"/>
    <s v="Low Spender"/>
    <s v="Rarely Engaged"/>
    <x v="0"/>
    <n v="1"/>
    <x v="0"/>
    <n v="46"/>
    <x v="1"/>
    <s v="45-54"/>
    <n v="1"/>
    <n v="42046.358571428573"/>
  </r>
  <r>
    <n v="76"/>
    <n v="32"/>
    <n v="71019.820000000007"/>
    <s v="Male"/>
    <x v="2"/>
    <s v="High Spender"/>
    <s v="Often Engaged"/>
    <x v="1"/>
    <n v="2"/>
    <x v="3"/>
    <n v="46"/>
    <x v="0"/>
    <s v="25-34"/>
    <n v="4"/>
    <n v="53730.51263157896"/>
  </r>
  <r>
    <n v="77"/>
    <n v="25"/>
    <n v="49318.96"/>
    <s v="Female"/>
    <x v="0"/>
    <s v="Moderate Spender"/>
    <s v="Never Engaged"/>
    <x v="2"/>
    <n v="0"/>
    <x v="2"/>
    <n v="46"/>
    <x v="1"/>
    <s v="25-34"/>
    <n v="1"/>
    <n v="42046.358571428573"/>
  </r>
  <r>
    <n v="78"/>
    <n v="31"/>
    <n v="53254.05"/>
    <s v="Male"/>
    <x v="3"/>
    <s v="Moderate Spender"/>
    <s v="Never Engaged"/>
    <x v="2"/>
    <n v="0"/>
    <x v="2"/>
    <n v="46"/>
    <x v="1"/>
    <s v="25-34"/>
    <n v="1"/>
    <n v="42046.358571428573"/>
  </r>
  <r>
    <n v="79"/>
    <n v="40"/>
    <n v="57686.36"/>
    <s v="Female"/>
    <x v="1"/>
    <s v="Moderate Spender"/>
    <s v="Often Engaged"/>
    <x v="2"/>
    <n v="2"/>
    <x v="3"/>
    <n v="46"/>
    <x v="0"/>
    <s v="35-44"/>
    <n v="3"/>
    <n v="53730.51263157896"/>
  </r>
  <r>
    <n v="80"/>
    <n v="57"/>
    <n v="58152.33"/>
    <s v="Female"/>
    <x v="2"/>
    <s v="High Spender"/>
    <s v="Often Engaged"/>
    <x v="1"/>
    <n v="2"/>
    <x v="1"/>
    <n v="46"/>
    <x v="0"/>
    <s v="55+"/>
    <n v="4"/>
    <n v="53730.51263157896"/>
  </r>
  <r>
    <n v="81"/>
    <n v="38"/>
    <n v="50421.49"/>
    <s v="Female"/>
    <x v="0"/>
    <s v="Moderate Spender"/>
    <s v="Often Engaged"/>
    <x v="2"/>
    <n v="2"/>
    <x v="3"/>
    <n v="46"/>
    <x v="0"/>
    <s v="35-44"/>
    <n v="3"/>
    <n v="53730.51263157896"/>
  </r>
  <r>
    <n v="82"/>
    <n v="33"/>
    <n v="32043.69"/>
    <s v="Female"/>
    <x v="2"/>
    <s v="Moderate Spender"/>
    <s v="Never Engaged"/>
    <x v="2"/>
    <n v="0"/>
    <x v="2"/>
    <n v="46"/>
    <x v="1"/>
    <s v="25-34"/>
    <n v="1"/>
    <n v="42046.358571428573"/>
  </r>
  <r>
    <n v="83"/>
    <n v="62"/>
    <n v="61845.09"/>
    <s v="Female"/>
    <x v="0"/>
    <s v="High Spender"/>
    <s v="Often Engaged"/>
    <x v="1"/>
    <n v="2"/>
    <x v="1"/>
    <n v="46"/>
    <x v="4"/>
    <s v="55+"/>
    <n v="4"/>
    <n v="54385.223333333328"/>
  </r>
  <r>
    <n v="84"/>
    <n v="35"/>
    <n v="56472.34"/>
    <s v="Male"/>
    <x v="2"/>
    <s v="Low Spender"/>
    <s v="Never Engaged"/>
    <x v="0"/>
    <n v="0"/>
    <x v="2"/>
    <n v="46"/>
    <x v="1"/>
    <s v="35-44"/>
    <n v="0"/>
    <n v="42046.358571428573"/>
  </r>
  <r>
    <n v="85"/>
    <n v="64"/>
    <n v="33548.720000000001"/>
    <s v="Male"/>
    <x v="0"/>
    <s v="High Spender"/>
    <s v="Rarely Engaged"/>
    <x v="1"/>
    <n v="1"/>
    <x v="1"/>
    <n v="46"/>
    <x v="4"/>
    <s v="55+"/>
    <n v="3"/>
    <n v="54385.223333333328"/>
  </r>
  <r>
    <n v="86"/>
    <n v="41"/>
    <n v="39765.480000000003"/>
    <s v="Female"/>
    <x v="0"/>
    <s v="Moderate Spender"/>
    <s v="Never Engaged"/>
    <x v="2"/>
    <n v="0"/>
    <x v="2"/>
    <n v="46"/>
    <x v="1"/>
    <s v="35-44"/>
    <n v="1"/>
    <n v="42046.358571428573"/>
  </r>
  <r>
    <n v="87"/>
    <n v="43"/>
    <n v="63312.67"/>
    <s v="Female"/>
    <x v="3"/>
    <s v="Moderate Spender"/>
    <s v="Never Engaged"/>
    <x v="2"/>
    <n v="0"/>
    <x v="2"/>
    <n v="46"/>
    <x v="1"/>
    <s v="35-44"/>
    <n v="1"/>
    <n v="42046.358571428573"/>
  </r>
  <r>
    <n v="88"/>
    <n v="42"/>
    <n v="59082.25"/>
    <s v="Male"/>
    <x v="0"/>
    <s v="High Spender"/>
    <s v="Rarely Engaged"/>
    <x v="1"/>
    <n v="1"/>
    <x v="3"/>
    <n v="46"/>
    <x v="0"/>
    <s v="35-44"/>
    <n v="3"/>
    <n v="53730.51263157896"/>
  </r>
  <r>
    <n v="89"/>
    <n v="62"/>
    <n v="39195.53"/>
    <s v="Male"/>
    <x v="3"/>
    <s v="Low Spender"/>
    <s v="Never Engaged"/>
    <x v="0"/>
    <n v="0"/>
    <x v="0"/>
    <n v="46"/>
    <x v="2"/>
    <s v="55+"/>
    <n v="0"/>
    <s v="No Data"/>
  </r>
  <r>
    <n v="90"/>
    <n v="58"/>
    <n v="45950.99"/>
    <s v="Female"/>
    <x v="0"/>
    <s v="Moderate Spender"/>
    <s v="Often Engaged"/>
    <x v="2"/>
    <n v="2"/>
    <x v="1"/>
    <n v="46"/>
    <x v="0"/>
    <s v="55+"/>
    <n v="3"/>
    <n v="53730.51263157896"/>
  </r>
  <r>
    <n v="91"/>
    <n v="46"/>
    <n v="47848.07"/>
    <s v="Male"/>
    <x v="1"/>
    <s v="Moderate Spender"/>
    <s v="Often Engaged"/>
    <x v="2"/>
    <n v="2"/>
    <x v="1"/>
    <n v="46"/>
    <x v="0"/>
    <s v="45-54"/>
    <n v="3"/>
    <n v="53730.51263157896"/>
  </r>
  <r>
    <n v="92"/>
    <n v="32"/>
    <n v="59255.06"/>
    <s v="Female"/>
    <x v="1"/>
    <s v="Moderate Spender"/>
    <s v="Never Engaged"/>
    <x v="2"/>
    <n v="0"/>
    <x v="2"/>
    <n v="46"/>
    <x v="1"/>
    <s v="25-34"/>
    <n v="1"/>
    <n v="42046.358571428573"/>
  </r>
  <r>
    <n v="93"/>
    <n v="62"/>
    <n v="68734.11"/>
    <s v="Male"/>
    <x v="1"/>
    <s v="High Spender"/>
    <s v="Often Engaged"/>
    <x v="1"/>
    <n v="2"/>
    <x v="1"/>
    <n v="46"/>
    <x v="4"/>
    <s v="55+"/>
    <n v="4"/>
    <n v="54385.223333333328"/>
  </r>
  <r>
    <n v="94"/>
    <n v="18"/>
    <n v="50984.74"/>
    <s v="Female"/>
    <x v="0"/>
    <s v="Moderate Spender"/>
    <s v="Never Engaged"/>
    <x v="2"/>
    <n v="0"/>
    <x v="2"/>
    <n v="46"/>
    <x v="1"/>
    <s v="18-24"/>
    <n v="1"/>
    <n v="42046.358571428573"/>
  </r>
  <r>
    <n v="95"/>
    <n v="42"/>
    <n v="67538.11"/>
    <s v="Male"/>
    <x v="3"/>
    <s v="Low Spender"/>
    <s v="Often Engaged"/>
    <x v="0"/>
    <n v="2"/>
    <x v="0"/>
    <n v="46"/>
    <x v="0"/>
    <s v="35-44"/>
    <n v="2"/>
    <n v="53730.51263157896"/>
  </r>
  <r>
    <n v="96"/>
    <n v="24"/>
    <n v="63099.75"/>
    <s v="Female"/>
    <x v="3"/>
    <s v="Moderate Spender"/>
    <s v="Often Engaged"/>
    <x v="2"/>
    <n v="2"/>
    <x v="3"/>
    <n v="46"/>
    <x v="3"/>
    <s v="18-24"/>
    <n v="3"/>
    <n v="50173.108"/>
  </r>
  <r>
    <n v="97"/>
    <n v="26"/>
    <n v="53084.75"/>
    <s v="Male"/>
    <x v="0"/>
    <s v="Moderate Spender"/>
    <s v="Never Engaged"/>
    <x v="2"/>
    <n v="0"/>
    <x v="2"/>
    <n v="46"/>
    <x v="1"/>
    <s v="25-34"/>
    <n v="1"/>
    <n v="42046.358571428573"/>
  </r>
  <r>
    <n v="98"/>
    <n v="41"/>
    <n v="28347.75"/>
    <s v="Male"/>
    <x v="1"/>
    <s v="Low Spender"/>
    <s v="Often Engaged"/>
    <x v="0"/>
    <n v="2"/>
    <x v="0"/>
    <n v="46"/>
    <x v="0"/>
    <s v="35-44"/>
    <n v="2"/>
    <n v="53730.51263157896"/>
  </r>
  <r>
    <n v="99"/>
    <n v="18"/>
    <n v="34584.339999999997"/>
    <s v="Female"/>
    <x v="1"/>
    <s v="Moderate Spender"/>
    <s v="Never Engaged"/>
    <x v="2"/>
    <n v="0"/>
    <x v="2"/>
    <n v="46"/>
    <x v="1"/>
    <s v="18-24"/>
    <n v="1"/>
    <n v="42046.358571428573"/>
  </r>
  <r>
    <n v="100"/>
    <n v="61"/>
    <n v="61118.61"/>
    <s v="Male"/>
    <x v="3"/>
    <s v="High Spender"/>
    <s v="Often Engaged"/>
    <x v="1"/>
    <n v="2"/>
    <x v="1"/>
    <n v="46"/>
    <x v="4"/>
    <s v="55+"/>
    <n v="4"/>
    <n v="54385.22333333332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50984.74"/>
    <x v="0"/>
    <x v="0"/>
  </r>
  <r>
    <n v="34584.339999999997"/>
    <x v="1"/>
    <x v="0"/>
  </r>
  <r>
    <n v="61041.84"/>
    <x v="2"/>
    <x v="1"/>
  </r>
  <r>
    <n v="52257.34"/>
    <x v="3"/>
    <x v="1"/>
  </r>
  <r>
    <n v="30350.74"/>
    <x v="3"/>
    <x v="0"/>
  </r>
  <r>
    <n v="43373.51"/>
    <x v="2"/>
    <x v="0"/>
  </r>
  <r>
    <n v="48783.22"/>
    <x v="1"/>
    <x v="2"/>
  </r>
  <r>
    <n v="27763.64"/>
    <x v="1"/>
    <x v="2"/>
  </r>
  <r>
    <n v="46163.53"/>
    <x v="3"/>
    <x v="2"/>
  </r>
  <r>
    <n v="65074.8"/>
    <x v="2"/>
    <x v="1"/>
  </r>
  <r>
    <n v="28602.82"/>
    <x v="0"/>
    <x v="2"/>
  </r>
  <r>
    <n v="48737.52"/>
    <x v="1"/>
    <x v="1"/>
  </r>
  <r>
    <n v="64439.62"/>
    <x v="3"/>
    <x v="1"/>
  </r>
  <r>
    <n v="40009.089999999997"/>
    <x v="1"/>
    <x v="0"/>
  </r>
  <r>
    <n v="63099.75"/>
    <x v="3"/>
    <x v="0"/>
  </r>
  <r>
    <n v="53173.81"/>
    <x v="0"/>
    <x v="0"/>
  </r>
  <r>
    <n v="54519.839999999997"/>
    <x v="1"/>
    <x v="1"/>
  </r>
  <r>
    <n v="49318.96"/>
    <x v="0"/>
    <x v="0"/>
  </r>
  <r>
    <n v="38389.360000000001"/>
    <x v="3"/>
    <x v="1"/>
  </r>
  <r>
    <n v="36945.43"/>
    <x v="3"/>
    <x v="1"/>
  </r>
  <r>
    <n v="53084.75"/>
    <x v="0"/>
    <x v="0"/>
  </r>
  <r>
    <n v="52529.89"/>
    <x v="1"/>
    <x v="1"/>
  </r>
  <r>
    <n v="33141.519999999997"/>
    <x v="0"/>
    <x v="0"/>
  </r>
  <r>
    <n v="64250.080000000002"/>
    <x v="3"/>
    <x v="1"/>
  </r>
  <r>
    <n v="34623.64"/>
    <x v="1"/>
    <x v="2"/>
  </r>
  <r>
    <n v="30330.14"/>
    <x v="0"/>
    <x v="1"/>
  </r>
  <r>
    <n v="47802.91"/>
    <x v="3"/>
    <x v="1"/>
  </r>
  <r>
    <n v="39976.300000000003"/>
    <x v="2"/>
    <x v="1"/>
  </r>
  <r>
    <n v="53254.05"/>
    <x v="3"/>
    <x v="0"/>
  </r>
  <r>
    <n v="57140.639999999999"/>
    <x v="0"/>
    <x v="0"/>
  </r>
  <r>
    <n v="63449.46"/>
    <x v="1"/>
    <x v="2"/>
  </r>
  <r>
    <n v="71019.820000000007"/>
    <x v="2"/>
    <x v="1"/>
  </r>
  <r>
    <n v="59255.06"/>
    <x v="1"/>
    <x v="0"/>
  </r>
  <r>
    <n v="54395.89"/>
    <x v="0"/>
    <x v="1"/>
  </r>
  <r>
    <n v="32043.69"/>
    <x v="2"/>
    <x v="0"/>
  </r>
  <r>
    <n v="37309.74"/>
    <x v="3"/>
    <x v="1"/>
  </r>
  <r>
    <n v="60861.25"/>
    <x v="3"/>
    <x v="2"/>
  </r>
  <r>
    <n v="79618.570000000007"/>
    <x v="2"/>
    <x v="2"/>
  </r>
  <r>
    <n v="56472.34"/>
    <x v="2"/>
    <x v="2"/>
  </r>
  <r>
    <n v="48320.18"/>
    <x v="2"/>
    <x v="0"/>
  </r>
  <r>
    <n v="94154.95"/>
    <x v="0"/>
    <x v="1"/>
  </r>
  <r>
    <n v="58955.67"/>
    <x v="2"/>
    <x v="1"/>
  </r>
  <r>
    <n v="48298.68"/>
    <x v="2"/>
    <x v="0"/>
  </r>
  <r>
    <n v="46854.61"/>
    <x v="2"/>
    <x v="0"/>
  </r>
  <r>
    <n v="50421.49"/>
    <x v="0"/>
    <x v="0"/>
  </r>
  <r>
    <n v="57016.92"/>
    <x v="0"/>
    <x v="1"/>
  </r>
  <r>
    <n v="38269.279999999999"/>
    <x v="0"/>
    <x v="2"/>
  </r>
  <r>
    <n v="72034.12"/>
    <x v="0"/>
    <x v="0"/>
  </r>
  <r>
    <n v="57686.36"/>
    <x v="1"/>
    <x v="0"/>
  </r>
  <r>
    <n v="75897.75"/>
    <x v="2"/>
    <x v="0"/>
  </r>
  <r>
    <n v="54902.68"/>
    <x v="3"/>
    <x v="0"/>
  </r>
  <r>
    <n v="38304.47"/>
    <x v="2"/>
    <x v="1"/>
  </r>
  <r>
    <n v="39765.480000000003"/>
    <x v="0"/>
    <x v="0"/>
  </r>
  <r>
    <n v="28347.75"/>
    <x v="1"/>
    <x v="2"/>
  </r>
  <r>
    <n v="63090.58"/>
    <x v="0"/>
    <x v="0"/>
  </r>
  <r>
    <n v="62748.82"/>
    <x v="1"/>
    <x v="1"/>
  </r>
  <r>
    <n v="59082.25"/>
    <x v="0"/>
    <x v="1"/>
  </r>
  <r>
    <n v="67538.11"/>
    <x v="3"/>
    <x v="2"/>
  </r>
  <r>
    <n v="42400.35"/>
    <x v="0"/>
    <x v="0"/>
  </r>
  <r>
    <n v="79475.520000000004"/>
    <x v="3"/>
    <x v="1"/>
  </r>
  <r>
    <n v="63312.67"/>
    <x v="3"/>
    <x v="0"/>
  </r>
  <r>
    <n v="84308.39"/>
    <x v="1"/>
    <x v="0"/>
  </r>
  <r>
    <n v="62356"/>
    <x v="2"/>
    <x v="2"/>
  </r>
  <r>
    <n v="33556.01"/>
    <x v="1"/>
    <x v="2"/>
  </r>
  <r>
    <n v="36399.19"/>
    <x v="1"/>
    <x v="1"/>
  </r>
  <r>
    <n v="55070.34"/>
    <x v="1"/>
    <x v="0"/>
  </r>
  <r>
    <n v="47848.07"/>
    <x v="1"/>
    <x v="0"/>
  </r>
  <r>
    <n v="47741.99"/>
    <x v="2"/>
    <x v="2"/>
  </r>
  <r>
    <n v="47940.63"/>
    <x v="0"/>
    <x v="2"/>
  </r>
  <r>
    <n v="89502.92"/>
    <x v="1"/>
    <x v="2"/>
  </r>
  <r>
    <n v="38560.6"/>
    <x v="3"/>
    <x v="1"/>
  </r>
  <r>
    <n v="40058.93"/>
    <x v="3"/>
    <x v="1"/>
  </r>
  <r>
    <n v="56868.28"/>
    <x v="3"/>
    <x v="0"/>
  </r>
  <r>
    <n v="37662.660000000003"/>
    <x v="2"/>
    <x v="2"/>
  </r>
  <r>
    <n v="30171.85"/>
    <x v="3"/>
    <x v="0"/>
  </r>
  <r>
    <n v="46567.29"/>
    <x v="0"/>
    <x v="0"/>
  </r>
  <r>
    <n v="35516.629999999997"/>
    <x v="2"/>
    <x v="0"/>
  </r>
  <r>
    <n v="59544.58"/>
    <x v="0"/>
    <x v="2"/>
  </r>
  <r>
    <n v="36554.97"/>
    <x v="0"/>
    <x v="0"/>
  </r>
  <r>
    <n v="44603.33"/>
    <x v="1"/>
    <x v="0"/>
  </r>
  <r>
    <n v="24735.69"/>
    <x v="2"/>
    <x v="2"/>
  </r>
  <r>
    <n v="66300.91"/>
    <x v="0"/>
    <x v="2"/>
  </r>
  <r>
    <n v="58152.33"/>
    <x v="2"/>
    <x v="1"/>
  </r>
  <r>
    <n v="45950.99"/>
    <x v="0"/>
    <x v="0"/>
  </r>
  <r>
    <n v="74343.81"/>
    <x v="2"/>
    <x v="0"/>
  </r>
  <r>
    <n v="68555.240000000005"/>
    <x v="3"/>
    <x v="2"/>
  </r>
  <r>
    <n v="69554.92"/>
    <x v="1"/>
    <x v="2"/>
  </r>
  <r>
    <n v="37341.550000000003"/>
    <x v="0"/>
    <x v="1"/>
  </r>
  <r>
    <n v="56359.15"/>
    <x v="2"/>
    <x v="1"/>
  </r>
  <r>
    <n v="45257.51"/>
    <x v="0"/>
    <x v="0"/>
  </r>
  <r>
    <n v="42293.19"/>
    <x v="3"/>
    <x v="0"/>
  </r>
  <r>
    <n v="20901.330000000002"/>
    <x v="1"/>
    <x v="0"/>
  </r>
  <r>
    <n v="61118.61"/>
    <x v="3"/>
    <x v="1"/>
  </r>
  <r>
    <n v="61845.09"/>
    <x v="0"/>
    <x v="1"/>
  </r>
  <r>
    <n v="39195.53"/>
    <x v="3"/>
    <x v="2"/>
  </r>
  <r>
    <n v="68734.11"/>
    <x v="1"/>
    <x v="1"/>
  </r>
  <r>
    <n v="40845.17"/>
    <x v="2"/>
    <x v="2"/>
  </r>
  <r>
    <n v="63723.26"/>
    <x v="3"/>
    <x v="0"/>
  </r>
  <r>
    <n v="28122.25"/>
    <x v="1"/>
    <x v="1"/>
  </r>
  <r>
    <n v="33548.720000000001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50984.74"/>
    <x v="0"/>
  </r>
  <r>
    <x v="0"/>
    <n v="34584.339999999997"/>
    <x v="0"/>
  </r>
  <r>
    <x v="1"/>
    <n v="61041.84"/>
    <x v="1"/>
  </r>
  <r>
    <x v="1"/>
    <n v="52257.34"/>
    <x v="0"/>
  </r>
  <r>
    <x v="2"/>
    <n v="30350.74"/>
    <x v="0"/>
  </r>
  <r>
    <x v="2"/>
    <n v="43373.51"/>
    <x v="0"/>
  </r>
  <r>
    <x v="2"/>
    <n v="48783.22"/>
    <x v="1"/>
  </r>
  <r>
    <x v="1"/>
    <n v="27763.64"/>
    <x v="0"/>
  </r>
  <r>
    <x v="2"/>
    <n v="46163.53"/>
    <x v="1"/>
  </r>
  <r>
    <x v="2"/>
    <n v="65074.8"/>
    <x v="1"/>
  </r>
  <r>
    <x v="0"/>
    <n v="28602.82"/>
    <x v="0"/>
  </r>
  <r>
    <x v="0"/>
    <n v="48737.52"/>
    <x v="0"/>
  </r>
  <r>
    <x v="2"/>
    <n v="64439.62"/>
    <x v="0"/>
  </r>
  <r>
    <x v="2"/>
    <n v="40009.089999999997"/>
    <x v="1"/>
  </r>
  <r>
    <x v="2"/>
    <n v="63099.75"/>
    <x v="0"/>
  </r>
  <r>
    <x v="2"/>
    <n v="53173.81"/>
    <x v="0"/>
  </r>
  <r>
    <x v="2"/>
    <n v="54519.839999999997"/>
    <x v="1"/>
  </r>
  <r>
    <x v="0"/>
    <n v="49318.96"/>
    <x v="0"/>
  </r>
  <r>
    <x v="1"/>
    <n v="38389.360000000001"/>
    <x v="0"/>
  </r>
  <r>
    <x v="2"/>
    <n v="36945.43"/>
    <x v="0"/>
  </r>
  <r>
    <x v="0"/>
    <n v="53084.75"/>
    <x v="1"/>
  </r>
  <r>
    <x v="2"/>
    <n v="52529.89"/>
    <x v="1"/>
  </r>
  <r>
    <x v="2"/>
    <n v="33141.519999999997"/>
    <x v="0"/>
  </r>
  <r>
    <x v="2"/>
    <n v="64250.080000000002"/>
    <x v="0"/>
  </r>
  <r>
    <x v="0"/>
    <n v="34623.64"/>
    <x v="0"/>
  </r>
  <r>
    <x v="2"/>
    <n v="30330.14"/>
    <x v="1"/>
  </r>
  <r>
    <x v="2"/>
    <n v="47802.91"/>
    <x v="1"/>
  </r>
  <r>
    <x v="2"/>
    <n v="39976.300000000003"/>
    <x v="0"/>
  </r>
  <r>
    <x v="0"/>
    <n v="53254.05"/>
    <x v="1"/>
  </r>
  <r>
    <x v="0"/>
    <n v="57140.639999999999"/>
    <x v="0"/>
  </r>
  <r>
    <x v="1"/>
    <n v="63449.46"/>
    <x v="0"/>
  </r>
  <r>
    <x v="2"/>
    <n v="71019.820000000007"/>
    <x v="1"/>
  </r>
  <r>
    <x v="0"/>
    <n v="59255.06"/>
    <x v="0"/>
  </r>
  <r>
    <x v="1"/>
    <n v="54395.89"/>
    <x v="1"/>
  </r>
  <r>
    <x v="0"/>
    <n v="32043.69"/>
    <x v="0"/>
  </r>
  <r>
    <x v="0"/>
    <n v="37309.74"/>
    <x v="0"/>
  </r>
  <r>
    <x v="1"/>
    <n v="60861.25"/>
    <x v="1"/>
  </r>
  <r>
    <x v="0"/>
    <n v="79618.570000000007"/>
    <x v="1"/>
  </r>
  <r>
    <x v="0"/>
    <n v="56472.34"/>
    <x v="1"/>
  </r>
  <r>
    <x v="0"/>
    <n v="48320.18"/>
    <x v="0"/>
  </r>
  <r>
    <x v="2"/>
    <n v="94154.95"/>
    <x v="0"/>
  </r>
  <r>
    <x v="0"/>
    <n v="58955.67"/>
    <x v="0"/>
  </r>
  <r>
    <x v="1"/>
    <n v="48298.68"/>
    <x v="1"/>
  </r>
  <r>
    <x v="0"/>
    <n v="46854.61"/>
    <x v="1"/>
  </r>
  <r>
    <x v="2"/>
    <n v="50421.49"/>
    <x v="0"/>
  </r>
  <r>
    <x v="2"/>
    <n v="57016.92"/>
    <x v="1"/>
  </r>
  <r>
    <x v="1"/>
    <n v="38269.279999999999"/>
    <x v="0"/>
  </r>
  <r>
    <x v="2"/>
    <n v="72034.12"/>
    <x v="1"/>
  </r>
  <r>
    <x v="2"/>
    <n v="57686.36"/>
    <x v="0"/>
  </r>
  <r>
    <x v="0"/>
    <n v="75897.75"/>
    <x v="0"/>
  </r>
  <r>
    <x v="0"/>
    <n v="54902.68"/>
    <x v="0"/>
  </r>
  <r>
    <x v="0"/>
    <n v="38304.47"/>
    <x v="1"/>
  </r>
  <r>
    <x v="0"/>
    <n v="39765.480000000003"/>
    <x v="0"/>
  </r>
  <r>
    <x v="2"/>
    <n v="28347.75"/>
    <x v="1"/>
  </r>
  <r>
    <x v="0"/>
    <n v="63090.58"/>
    <x v="1"/>
  </r>
  <r>
    <x v="0"/>
    <n v="62748.82"/>
    <x v="1"/>
  </r>
  <r>
    <x v="1"/>
    <n v="59082.25"/>
    <x v="1"/>
  </r>
  <r>
    <x v="2"/>
    <n v="67538.11"/>
    <x v="1"/>
  </r>
  <r>
    <x v="2"/>
    <n v="42400.35"/>
    <x v="0"/>
  </r>
  <r>
    <x v="2"/>
    <n v="79475.520000000004"/>
    <x v="1"/>
  </r>
  <r>
    <x v="0"/>
    <n v="63312.67"/>
    <x v="0"/>
  </r>
  <r>
    <x v="2"/>
    <n v="84308.39"/>
    <x v="0"/>
  </r>
  <r>
    <x v="2"/>
    <n v="62356"/>
    <x v="1"/>
  </r>
  <r>
    <x v="1"/>
    <n v="33556.01"/>
    <x v="0"/>
  </r>
  <r>
    <x v="2"/>
    <n v="36399.19"/>
    <x v="0"/>
  </r>
  <r>
    <x v="2"/>
    <n v="55070.34"/>
    <x v="0"/>
  </r>
  <r>
    <x v="2"/>
    <n v="47848.07"/>
    <x v="1"/>
  </r>
  <r>
    <x v="2"/>
    <n v="47741.99"/>
    <x v="1"/>
  </r>
  <r>
    <x v="1"/>
    <n v="47940.63"/>
    <x v="1"/>
  </r>
  <r>
    <x v="2"/>
    <n v="89502.92"/>
    <x v="0"/>
  </r>
  <r>
    <x v="2"/>
    <n v="38560.6"/>
    <x v="0"/>
  </r>
  <r>
    <x v="1"/>
    <n v="40058.93"/>
    <x v="0"/>
  </r>
  <r>
    <x v="0"/>
    <n v="56868.28"/>
    <x v="1"/>
  </r>
  <r>
    <x v="0"/>
    <n v="37662.660000000003"/>
    <x v="1"/>
  </r>
  <r>
    <x v="1"/>
    <n v="30171.85"/>
    <x v="0"/>
  </r>
  <r>
    <x v="0"/>
    <n v="46567.29"/>
    <x v="0"/>
  </r>
  <r>
    <x v="0"/>
    <n v="35516.629999999997"/>
    <x v="0"/>
  </r>
  <r>
    <x v="2"/>
    <n v="59544.58"/>
    <x v="0"/>
  </r>
  <r>
    <x v="1"/>
    <n v="36554.97"/>
    <x v="1"/>
  </r>
  <r>
    <x v="2"/>
    <n v="44603.33"/>
    <x v="0"/>
  </r>
  <r>
    <x v="2"/>
    <n v="24735.69"/>
    <x v="1"/>
  </r>
  <r>
    <x v="1"/>
    <n v="66300.91"/>
    <x v="0"/>
  </r>
  <r>
    <x v="2"/>
    <n v="58152.33"/>
    <x v="0"/>
  </r>
  <r>
    <x v="2"/>
    <n v="45950.99"/>
    <x v="0"/>
  </r>
  <r>
    <x v="1"/>
    <n v="74343.81"/>
    <x v="0"/>
  </r>
  <r>
    <x v="2"/>
    <n v="68555.240000000005"/>
    <x v="0"/>
  </r>
  <r>
    <x v="1"/>
    <n v="69554.92"/>
    <x v="1"/>
  </r>
  <r>
    <x v="2"/>
    <n v="37341.550000000003"/>
    <x v="1"/>
  </r>
  <r>
    <x v="0"/>
    <n v="56359.15"/>
    <x v="0"/>
  </r>
  <r>
    <x v="1"/>
    <n v="45257.51"/>
    <x v="0"/>
  </r>
  <r>
    <x v="0"/>
    <n v="42293.19"/>
    <x v="0"/>
  </r>
  <r>
    <x v="1"/>
    <n v="20901.330000000002"/>
    <x v="1"/>
  </r>
  <r>
    <x v="2"/>
    <n v="61118.61"/>
    <x v="1"/>
  </r>
  <r>
    <x v="2"/>
    <n v="61845.09"/>
    <x v="0"/>
  </r>
  <r>
    <x v="0"/>
    <n v="39195.53"/>
    <x v="1"/>
  </r>
  <r>
    <x v="2"/>
    <n v="68734.11"/>
    <x v="1"/>
  </r>
  <r>
    <x v="1"/>
    <n v="40845.17"/>
    <x v="0"/>
  </r>
  <r>
    <x v="2"/>
    <n v="63723.26"/>
    <x v="0"/>
  </r>
  <r>
    <x v="0"/>
    <n v="28122.25"/>
    <x v="1"/>
  </r>
  <r>
    <x v="1"/>
    <n v="33548.72000000000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1315E-2A7E-3449-A4A6-BE79E570148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P11" firstHeaderRow="1" firstDataRow="2" firstDataCol="1"/>
  <pivotFields count="8"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ustomer 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5F49F-1484-B349-9D98-F391E585968E}" name="PivotTable1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Q35:V40" firstHeaderRow="1" firstDataRow="2" firstDataCol="1"/>
  <pivotFields count="3">
    <pivotField dataField="1" showAll="0"/>
    <pivotField axis="axisCol" showAll="0">
      <items count="5">
        <item x="1"/>
        <item x="2"/>
        <item x="3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Income" fld="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F3A87-975B-1944-98C5-40BBEE494106}" name="PivotTable1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Q22:AA30" firstHeaderRow="1" firstDataRow="3" firstDataCol="1"/>
  <pivotFields count="15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9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Customer ID" fld="0" subtotal="count" baseField="0" baseItem="0"/>
    <dataField name="Average of Incom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A0BAE-E4DB-7540-A020-4D295D64B9BE}" name="PivotTable1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Q14:R20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F816B-4D22-D342-B547-33E4C90D7A64}" name="PivotTable10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AI11" firstHeaderRow="1" firstDataRow="3" firstDataCol="1" rowPageCount="1" colPageCount="1"/>
  <pivotFields count="15">
    <pivotField dataField="1" showAll="0"/>
    <pivotField showAll="0"/>
    <pivotField dataField="1"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axis="axisCol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11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7" hier="-1"/>
  </pageFields>
  <dataFields count="3">
    <dataField name="Count of Customer ID" fld="0" subtotal="count" baseField="0" baseItem="0"/>
    <dataField name="Average of Income" fld="2" subtotal="average" baseField="0" baseItem="0"/>
    <dataField name="Average of Cluster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218AE-B7B6-AA49-8223-FDC68AF104B3}" name="PivotTable1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14:N19" firstHeaderRow="1" firstDataRow="2" firstDataCol="1"/>
  <pivotFields count="3">
    <pivotField axis="axisRow" showAll="0">
      <items count="4">
        <item x="0"/>
        <item x="2"/>
        <item x="1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Income" fld="1" baseField="0" baseItem="0"/>
  </dataFields>
  <formats count="1">
    <format dxfId="0">
      <pivotArea type="origin" dataOnly="0" labelOnly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36756-71A5-A543-8E91-423DCB2FFF91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O8" firstHeaderRow="1" firstDataRow="2" firstDataCol="1"/>
  <pivotFields count="8">
    <pivotField dataField="1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D7B53-4F90-704B-95C5-E7140B91B19B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2:W15" firstHeaderRow="0" firstDataRow="1" firstDataCol="1"/>
  <pivotFields count="13"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Income" fld="2" subtotal="average" baseField="0" baseItem="0"/>
    <dataField name="Count of Customer ID" fld="0" subtotal="count" baseField="0" baseItem="0"/>
    <dataField name="Average of Age" fld="1" subtotal="average" baseField="0" baseItem="0"/>
    <dataField name="Average of Purchasing_Behavior_Numeric" fld="7" subtotal="average" baseField="0" baseItem="0"/>
    <dataField name="Average of Engagement_Numeric" fld="8" subtotal="average" baseField="0" baseItem="0"/>
    <dataField name="Average of Cluster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B31C6-4C10-8E4A-9C22-86169AA0A954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U8" firstHeaderRow="1" firstDataRow="2" firstDataCol="1" rowPageCount="1" colPageCount="1"/>
  <pivotFields count="13">
    <pivotField dataField="1"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6">
        <item x="4"/>
        <item x="2"/>
        <item x="3"/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12" hier="-1"/>
  </pageField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01FBF-487E-2647-80E5-4F86A7BD545B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J13" firstHeaderRow="0" firstDataRow="1" firstDataCol="1"/>
  <pivotFields count="16"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 sortType="descending">
      <items count="6">
        <item x="3"/>
        <item x="4"/>
        <item x="1"/>
        <item x="0"/>
        <item x="2"/>
        <item t="default"/>
      </items>
    </pivotField>
    <pivotField showAll="0"/>
    <pivotField dataField="1" showAll="0"/>
    <pivotField showAll="0"/>
    <pivotField dragToRow="0" dragToCol="0" dragToPage="0" showAll="0" defaultSubtota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Customer ID" fld="0" subtotal="count" baseField="0" baseItem="0"/>
    <dataField name="Average of Income" fld="2" subtotal="average" baseField="0" baseItem="0" numFmtId="168"/>
    <dataField name="Average of Age" fld="1" subtotal="average" baseField="0" baseItem="0" numFmtId="2"/>
    <dataField name="Average of Purchasing_Behavior_Numeric" fld="7" subtotal="average" baseField="0" baseItem="0" numFmtId="2"/>
    <dataField name="Average of Engagement_Numeric" fld="8" subtotal="average" baseField="0" baseItem="0" numFmtId="2"/>
    <dataField name="Average of Combined_Score" fld="1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G101"/>
  <sheetViews>
    <sheetView workbookViewId="0">
      <selection sqref="A1:G101"/>
    </sheetView>
  </sheetViews>
  <sheetFormatPr baseColWidth="10" defaultColWidth="8.83203125" defaultRowHeight="15"/>
  <cols>
    <col min="1" max="1" width="10.6640625" bestFit="1" customWidth="1"/>
    <col min="2" max="2" width="4.1640625" bestFit="1" customWidth="1"/>
    <col min="3" max="3" width="9.1640625" bestFit="1" customWidth="1"/>
    <col min="4" max="4" width="7" bestFit="1" customWidth="1"/>
    <col min="5" max="5" width="6.5" bestFit="1" customWidth="1"/>
    <col min="6" max="6" width="16.83203125" bestFit="1" customWidth="1"/>
    <col min="7" max="7" width="24.1640625" bestFit="1" customWidth="1"/>
    <col min="8" max="8" width="5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56</v>
      </c>
      <c r="C2">
        <v>59544.58</v>
      </c>
      <c r="D2" t="s">
        <v>7</v>
      </c>
      <c r="E2" t="s">
        <v>9</v>
      </c>
      <c r="F2" t="s">
        <v>13</v>
      </c>
      <c r="G2" t="s">
        <v>16</v>
      </c>
    </row>
    <row r="3" spans="1:7">
      <c r="A3">
        <v>2</v>
      </c>
      <c r="B3">
        <v>46</v>
      </c>
      <c r="C3">
        <v>36399.19</v>
      </c>
      <c r="D3" t="s">
        <v>7</v>
      </c>
      <c r="E3" t="s">
        <v>10</v>
      </c>
      <c r="F3" t="s">
        <v>14</v>
      </c>
      <c r="G3" t="s">
        <v>16</v>
      </c>
    </row>
    <row r="4" spans="1:7">
      <c r="A4">
        <v>3</v>
      </c>
      <c r="B4">
        <v>32</v>
      </c>
      <c r="C4">
        <v>57140.639999999999</v>
      </c>
      <c r="D4" t="s">
        <v>7</v>
      </c>
      <c r="E4" t="s">
        <v>9</v>
      </c>
      <c r="F4" t="s">
        <v>15</v>
      </c>
      <c r="G4" t="s">
        <v>17</v>
      </c>
    </row>
    <row r="5" spans="1:7">
      <c r="A5">
        <v>4</v>
      </c>
      <c r="B5">
        <v>60</v>
      </c>
      <c r="C5">
        <v>69554.92</v>
      </c>
      <c r="D5" t="s">
        <v>8</v>
      </c>
      <c r="E5" t="s">
        <v>10</v>
      </c>
      <c r="F5" t="s">
        <v>13</v>
      </c>
      <c r="G5" t="s">
        <v>18</v>
      </c>
    </row>
    <row r="6" spans="1:7">
      <c r="A6">
        <v>5</v>
      </c>
      <c r="B6">
        <v>25</v>
      </c>
      <c r="C6">
        <v>53173.81</v>
      </c>
      <c r="D6" t="s">
        <v>7</v>
      </c>
      <c r="E6" t="s">
        <v>9</v>
      </c>
      <c r="F6" t="s">
        <v>15</v>
      </c>
      <c r="G6" t="s">
        <v>16</v>
      </c>
    </row>
    <row r="7" spans="1:7">
      <c r="A7">
        <v>6</v>
      </c>
      <c r="B7">
        <v>38</v>
      </c>
      <c r="C7">
        <v>58955.67</v>
      </c>
      <c r="D7" t="s">
        <v>7</v>
      </c>
      <c r="E7" t="s">
        <v>11</v>
      </c>
      <c r="F7" t="s">
        <v>14</v>
      </c>
      <c r="G7" t="s">
        <v>17</v>
      </c>
    </row>
    <row r="8" spans="1:7">
      <c r="A8">
        <v>7</v>
      </c>
      <c r="B8">
        <v>56</v>
      </c>
      <c r="C8">
        <v>36554.97</v>
      </c>
      <c r="D8" t="s">
        <v>8</v>
      </c>
      <c r="E8" t="s">
        <v>9</v>
      </c>
      <c r="F8" t="s">
        <v>15</v>
      </c>
      <c r="G8" t="s">
        <v>18</v>
      </c>
    </row>
    <row r="9" spans="1:7">
      <c r="A9">
        <v>8</v>
      </c>
      <c r="B9">
        <v>36</v>
      </c>
      <c r="C9">
        <v>48320.18</v>
      </c>
      <c r="D9" t="s">
        <v>7</v>
      </c>
      <c r="E9" t="s">
        <v>11</v>
      </c>
      <c r="F9" t="s">
        <v>15</v>
      </c>
      <c r="G9" t="s">
        <v>17</v>
      </c>
    </row>
    <row r="10" spans="1:7">
      <c r="A10">
        <v>9</v>
      </c>
      <c r="B10">
        <v>40</v>
      </c>
      <c r="C10">
        <v>72034.12</v>
      </c>
      <c r="D10" t="s">
        <v>8</v>
      </c>
      <c r="E10" t="s">
        <v>9</v>
      </c>
      <c r="F10" t="s">
        <v>15</v>
      </c>
      <c r="G10" t="s">
        <v>16</v>
      </c>
    </row>
    <row r="11" spans="1:7">
      <c r="A11">
        <v>10</v>
      </c>
      <c r="B11">
        <v>28</v>
      </c>
      <c r="C11">
        <v>33141.519999999997</v>
      </c>
      <c r="D11" t="s">
        <v>7</v>
      </c>
      <c r="E11" t="s">
        <v>9</v>
      </c>
      <c r="F11" t="s">
        <v>15</v>
      </c>
      <c r="G11" t="s">
        <v>16</v>
      </c>
    </row>
    <row r="12" spans="1:7">
      <c r="A12">
        <v>11</v>
      </c>
      <c r="B12">
        <v>28</v>
      </c>
      <c r="C12">
        <v>64250.080000000002</v>
      </c>
      <c r="D12" t="s">
        <v>7</v>
      </c>
      <c r="E12" t="s">
        <v>12</v>
      </c>
      <c r="F12" t="s">
        <v>14</v>
      </c>
      <c r="G12" t="s">
        <v>16</v>
      </c>
    </row>
    <row r="13" spans="1:7">
      <c r="A13">
        <v>12</v>
      </c>
      <c r="B13">
        <v>41</v>
      </c>
      <c r="C13">
        <v>75897.75</v>
      </c>
      <c r="D13" t="s">
        <v>7</v>
      </c>
      <c r="E13" t="s">
        <v>11</v>
      </c>
      <c r="F13" t="s">
        <v>15</v>
      </c>
      <c r="G13" t="s">
        <v>17</v>
      </c>
    </row>
    <row r="14" spans="1:7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 t="s">
        <v>17</v>
      </c>
    </row>
    <row r="15" spans="1:7">
      <c r="A15">
        <v>14</v>
      </c>
      <c r="B15">
        <v>57</v>
      </c>
      <c r="C15">
        <v>24735.69</v>
      </c>
      <c r="D15" t="s">
        <v>8</v>
      </c>
      <c r="E15" t="s">
        <v>11</v>
      </c>
      <c r="F15" t="s">
        <v>13</v>
      </c>
      <c r="G15" t="s">
        <v>16</v>
      </c>
    </row>
    <row r="16" spans="1:7">
      <c r="A16">
        <v>15</v>
      </c>
      <c r="B16">
        <v>41</v>
      </c>
      <c r="C16">
        <v>54902.68</v>
      </c>
      <c r="D16" t="s">
        <v>7</v>
      </c>
      <c r="E16" t="s">
        <v>12</v>
      </c>
      <c r="F16" t="s">
        <v>15</v>
      </c>
      <c r="G16" t="s">
        <v>17</v>
      </c>
    </row>
    <row r="17" spans="1:7">
      <c r="A17">
        <v>16</v>
      </c>
      <c r="B17">
        <v>20</v>
      </c>
      <c r="C17">
        <v>48783.22</v>
      </c>
      <c r="D17" t="s">
        <v>8</v>
      </c>
      <c r="E17" t="s">
        <v>10</v>
      </c>
      <c r="F17" t="s">
        <v>13</v>
      </c>
      <c r="G17" t="s">
        <v>16</v>
      </c>
    </row>
    <row r="18" spans="1:7">
      <c r="A18">
        <v>17</v>
      </c>
      <c r="B18">
        <v>39</v>
      </c>
      <c r="C18">
        <v>57016.92</v>
      </c>
      <c r="D18" t="s">
        <v>8</v>
      </c>
      <c r="E18" t="s">
        <v>9</v>
      </c>
      <c r="F18" t="s">
        <v>14</v>
      </c>
      <c r="G18" t="s">
        <v>16</v>
      </c>
    </row>
    <row r="19" spans="1:7">
      <c r="A19">
        <v>18</v>
      </c>
      <c r="B19">
        <v>19</v>
      </c>
      <c r="C19">
        <v>61041.84</v>
      </c>
      <c r="D19" t="s">
        <v>8</v>
      </c>
      <c r="E19" t="s">
        <v>11</v>
      </c>
      <c r="F19" t="s">
        <v>14</v>
      </c>
      <c r="G19" t="s">
        <v>18</v>
      </c>
    </row>
    <row r="20" spans="1:7">
      <c r="A20">
        <v>19</v>
      </c>
      <c r="B20">
        <v>41</v>
      </c>
      <c r="C20">
        <v>38304.47</v>
      </c>
      <c r="D20" t="s">
        <v>8</v>
      </c>
      <c r="E20" t="s">
        <v>11</v>
      </c>
      <c r="F20" t="s">
        <v>14</v>
      </c>
      <c r="G20" t="s">
        <v>17</v>
      </c>
    </row>
    <row r="21" spans="1:7">
      <c r="A21">
        <v>20</v>
      </c>
      <c r="B21">
        <v>61</v>
      </c>
      <c r="C21">
        <v>37341.550000000003</v>
      </c>
      <c r="D21" t="s">
        <v>8</v>
      </c>
      <c r="E21" t="s">
        <v>9</v>
      </c>
      <c r="F21" t="s">
        <v>14</v>
      </c>
      <c r="G21" t="s">
        <v>16</v>
      </c>
    </row>
    <row r="22" spans="1:7">
      <c r="A22">
        <v>21</v>
      </c>
      <c r="B22">
        <v>47</v>
      </c>
      <c r="C22">
        <v>47741.99</v>
      </c>
      <c r="D22" t="s">
        <v>8</v>
      </c>
      <c r="E22" t="s">
        <v>11</v>
      </c>
      <c r="F22" t="s">
        <v>13</v>
      </c>
      <c r="G22" t="s">
        <v>16</v>
      </c>
    </row>
    <row r="23" spans="1:7">
      <c r="A23">
        <v>22</v>
      </c>
      <c r="B23">
        <v>55</v>
      </c>
      <c r="C23">
        <v>35516.629999999997</v>
      </c>
      <c r="D23" t="s">
        <v>7</v>
      </c>
      <c r="E23" t="s">
        <v>11</v>
      </c>
      <c r="F23" t="s">
        <v>15</v>
      </c>
      <c r="G23" t="s">
        <v>17</v>
      </c>
    </row>
    <row r="24" spans="1:7">
      <c r="A24">
        <v>23</v>
      </c>
      <c r="B24">
        <v>19</v>
      </c>
      <c r="C24">
        <v>52257.34</v>
      </c>
      <c r="D24" t="s">
        <v>7</v>
      </c>
      <c r="E24" t="s">
        <v>12</v>
      </c>
      <c r="F24" t="s">
        <v>14</v>
      </c>
      <c r="G24" t="s">
        <v>18</v>
      </c>
    </row>
    <row r="25" spans="1:7">
      <c r="A25">
        <v>24</v>
      </c>
      <c r="B25">
        <v>38</v>
      </c>
      <c r="C25">
        <v>48298.68</v>
      </c>
      <c r="D25" t="s">
        <v>8</v>
      </c>
      <c r="E25" t="s">
        <v>11</v>
      </c>
      <c r="F25" t="s">
        <v>15</v>
      </c>
      <c r="G25" t="s">
        <v>18</v>
      </c>
    </row>
    <row r="26" spans="1:7">
      <c r="A26">
        <v>25</v>
      </c>
      <c r="B26">
        <v>50</v>
      </c>
      <c r="C26">
        <v>89502.92</v>
      </c>
      <c r="D26" t="s">
        <v>7</v>
      </c>
      <c r="E26" t="s">
        <v>10</v>
      </c>
      <c r="F26" t="s">
        <v>13</v>
      </c>
      <c r="G26" t="s">
        <v>16</v>
      </c>
    </row>
    <row r="27" spans="1:7">
      <c r="A27">
        <v>26</v>
      </c>
      <c r="B27">
        <v>29</v>
      </c>
      <c r="C27">
        <v>34623.64</v>
      </c>
      <c r="D27" t="s">
        <v>7</v>
      </c>
      <c r="E27" t="s">
        <v>10</v>
      </c>
      <c r="F27" t="s">
        <v>13</v>
      </c>
      <c r="G27" t="s">
        <v>17</v>
      </c>
    </row>
    <row r="28" spans="1:7">
      <c r="A28">
        <v>27</v>
      </c>
      <c r="B28">
        <v>39</v>
      </c>
      <c r="C28">
        <v>38269.279999999999</v>
      </c>
      <c r="D28" t="s">
        <v>7</v>
      </c>
      <c r="E28" t="s">
        <v>9</v>
      </c>
      <c r="F28" t="s">
        <v>13</v>
      </c>
      <c r="G28" t="s">
        <v>18</v>
      </c>
    </row>
    <row r="29" spans="1:7">
      <c r="A29">
        <v>28</v>
      </c>
      <c r="B29">
        <v>61</v>
      </c>
      <c r="C29">
        <v>56359.15</v>
      </c>
      <c r="D29" t="s">
        <v>7</v>
      </c>
      <c r="E29" t="s">
        <v>11</v>
      </c>
      <c r="F29" t="s">
        <v>14</v>
      </c>
      <c r="G29" t="s">
        <v>17</v>
      </c>
    </row>
    <row r="30" spans="1:7">
      <c r="A30">
        <v>29</v>
      </c>
      <c r="B30">
        <v>42</v>
      </c>
      <c r="C30">
        <v>63090.58</v>
      </c>
      <c r="D30" t="s">
        <v>8</v>
      </c>
      <c r="E30" t="s">
        <v>9</v>
      </c>
      <c r="F30" t="s">
        <v>15</v>
      </c>
      <c r="G30" t="s">
        <v>17</v>
      </c>
    </row>
    <row r="31" spans="1:7">
      <c r="A31">
        <v>30</v>
      </c>
      <c r="B31">
        <v>44</v>
      </c>
      <c r="C31">
        <v>84308.39</v>
      </c>
      <c r="D31" t="s">
        <v>7</v>
      </c>
      <c r="E31" t="s">
        <v>10</v>
      </c>
      <c r="F31" t="s">
        <v>15</v>
      </c>
      <c r="G31" t="s">
        <v>16</v>
      </c>
    </row>
    <row r="32" spans="1:7">
      <c r="A32">
        <v>31</v>
      </c>
      <c r="B32">
        <v>59</v>
      </c>
      <c r="C32">
        <v>74343.81</v>
      </c>
      <c r="D32" t="s">
        <v>7</v>
      </c>
      <c r="E32" t="s">
        <v>11</v>
      </c>
      <c r="F32" t="s">
        <v>15</v>
      </c>
      <c r="G32" t="s">
        <v>18</v>
      </c>
    </row>
    <row r="33" spans="1:7">
      <c r="A33">
        <v>32</v>
      </c>
      <c r="B33">
        <v>45</v>
      </c>
      <c r="C33">
        <v>62356</v>
      </c>
      <c r="D33" t="s">
        <v>8</v>
      </c>
      <c r="E33" t="s">
        <v>11</v>
      </c>
      <c r="F33" t="s">
        <v>13</v>
      </c>
      <c r="G33" t="s">
        <v>16</v>
      </c>
    </row>
    <row r="34" spans="1:7">
      <c r="A34">
        <v>33</v>
      </c>
      <c r="B34">
        <v>33</v>
      </c>
      <c r="C34">
        <v>54395.89</v>
      </c>
      <c r="D34" t="s">
        <v>8</v>
      </c>
      <c r="E34" t="s">
        <v>9</v>
      </c>
      <c r="F34" t="s">
        <v>14</v>
      </c>
      <c r="G34" t="s">
        <v>18</v>
      </c>
    </row>
    <row r="35" spans="1:7">
      <c r="A35">
        <v>34</v>
      </c>
      <c r="B35">
        <v>32</v>
      </c>
      <c r="C35">
        <v>63449.46</v>
      </c>
      <c r="D35" t="s">
        <v>7</v>
      </c>
      <c r="E35" t="s">
        <v>10</v>
      </c>
      <c r="F35" t="s">
        <v>13</v>
      </c>
      <c r="G35" t="s">
        <v>18</v>
      </c>
    </row>
    <row r="36" spans="1:7">
      <c r="A36">
        <v>35</v>
      </c>
      <c r="B36">
        <v>64</v>
      </c>
      <c r="C36">
        <v>40845.17</v>
      </c>
      <c r="D36" t="s">
        <v>7</v>
      </c>
      <c r="E36" t="s">
        <v>11</v>
      </c>
      <c r="F36" t="s">
        <v>13</v>
      </c>
      <c r="G36" t="s">
        <v>18</v>
      </c>
    </row>
    <row r="37" spans="1:7">
      <c r="A37">
        <v>36</v>
      </c>
      <c r="B37">
        <v>61</v>
      </c>
      <c r="C37">
        <v>45257.51</v>
      </c>
      <c r="D37" t="s">
        <v>7</v>
      </c>
      <c r="E37" t="s">
        <v>9</v>
      </c>
      <c r="F37" t="s">
        <v>15</v>
      </c>
      <c r="G37" t="s">
        <v>18</v>
      </c>
    </row>
    <row r="38" spans="1:7">
      <c r="A38">
        <v>37</v>
      </c>
      <c r="B38">
        <v>20</v>
      </c>
      <c r="C38">
        <v>27763.64</v>
      </c>
      <c r="D38" t="s">
        <v>7</v>
      </c>
      <c r="E38" t="s">
        <v>10</v>
      </c>
      <c r="F38" t="s">
        <v>13</v>
      </c>
      <c r="G38" t="s">
        <v>18</v>
      </c>
    </row>
    <row r="39" spans="1:7">
      <c r="A39">
        <v>38</v>
      </c>
      <c r="B39">
        <v>54</v>
      </c>
      <c r="C39">
        <v>46567.29</v>
      </c>
      <c r="D39" t="s">
        <v>7</v>
      </c>
      <c r="E39" t="s">
        <v>9</v>
      </c>
      <c r="F39" t="s">
        <v>15</v>
      </c>
      <c r="G39" t="s">
        <v>17</v>
      </c>
    </row>
    <row r="40" spans="1:7">
      <c r="A40">
        <v>39</v>
      </c>
      <c r="B40">
        <v>24</v>
      </c>
      <c r="C40">
        <v>64439.62</v>
      </c>
      <c r="D40" t="s">
        <v>7</v>
      </c>
      <c r="E40" t="s">
        <v>12</v>
      </c>
      <c r="F40" t="s">
        <v>14</v>
      </c>
      <c r="G40" t="s">
        <v>16</v>
      </c>
    </row>
    <row r="41" spans="1:7">
      <c r="A41">
        <v>40</v>
      </c>
      <c r="B41">
        <v>38</v>
      </c>
      <c r="C41">
        <v>46854.61</v>
      </c>
      <c r="D41" t="s">
        <v>8</v>
      </c>
      <c r="E41" t="s">
        <v>11</v>
      </c>
      <c r="F41" t="s">
        <v>15</v>
      </c>
      <c r="G41" t="s">
        <v>17</v>
      </c>
    </row>
    <row r="42" spans="1:7">
      <c r="A42">
        <v>41</v>
      </c>
      <c r="B42">
        <v>26</v>
      </c>
      <c r="C42">
        <v>38389.360000000001</v>
      </c>
      <c r="D42" t="s">
        <v>7</v>
      </c>
      <c r="E42" t="s">
        <v>12</v>
      </c>
      <c r="F42" t="s">
        <v>14</v>
      </c>
      <c r="G42" t="s">
        <v>18</v>
      </c>
    </row>
    <row r="43" spans="1:7">
      <c r="A43">
        <v>42</v>
      </c>
      <c r="B43">
        <v>56</v>
      </c>
      <c r="C43">
        <v>44603.33</v>
      </c>
      <c r="D43" t="s">
        <v>7</v>
      </c>
      <c r="E43" t="s">
        <v>10</v>
      </c>
      <c r="F43" t="s">
        <v>15</v>
      </c>
      <c r="G43" t="s">
        <v>16</v>
      </c>
    </row>
    <row r="44" spans="1:7">
      <c r="A44">
        <v>43</v>
      </c>
      <c r="B44">
        <v>35</v>
      </c>
      <c r="C44">
        <v>60861.25</v>
      </c>
      <c r="D44" t="s">
        <v>8</v>
      </c>
      <c r="E44" t="s">
        <v>12</v>
      </c>
      <c r="F44" t="s">
        <v>13</v>
      </c>
      <c r="G44" t="s">
        <v>18</v>
      </c>
    </row>
    <row r="45" spans="1:7">
      <c r="A45">
        <v>44</v>
      </c>
      <c r="B45">
        <v>21</v>
      </c>
      <c r="C45">
        <v>46163.53</v>
      </c>
      <c r="D45" t="s">
        <v>8</v>
      </c>
      <c r="E45" t="s">
        <v>12</v>
      </c>
      <c r="F45" t="s">
        <v>13</v>
      </c>
      <c r="G45" t="s">
        <v>16</v>
      </c>
    </row>
    <row r="46" spans="1:7">
      <c r="A46">
        <v>45</v>
      </c>
      <c r="B46">
        <v>42</v>
      </c>
      <c r="C46">
        <v>62748.82</v>
      </c>
      <c r="D46" t="s">
        <v>8</v>
      </c>
      <c r="E46" t="s">
        <v>10</v>
      </c>
      <c r="F46" t="s">
        <v>14</v>
      </c>
      <c r="G46" t="s">
        <v>17</v>
      </c>
    </row>
    <row r="47" spans="1:7">
      <c r="A47">
        <v>46</v>
      </c>
      <c r="B47">
        <v>31</v>
      </c>
      <c r="C47">
        <v>30330.14</v>
      </c>
      <c r="D47" t="s">
        <v>8</v>
      </c>
      <c r="E47" t="s">
        <v>9</v>
      </c>
      <c r="F47" t="s">
        <v>14</v>
      </c>
      <c r="G47" t="s">
        <v>16</v>
      </c>
    </row>
    <row r="48" spans="1:7">
      <c r="A48">
        <v>47</v>
      </c>
      <c r="B48">
        <v>26</v>
      </c>
      <c r="C48">
        <v>36945.43</v>
      </c>
      <c r="D48" t="s">
        <v>7</v>
      </c>
      <c r="E48" t="s">
        <v>12</v>
      </c>
      <c r="F48" t="s">
        <v>14</v>
      </c>
      <c r="G48" t="s">
        <v>16</v>
      </c>
    </row>
    <row r="49" spans="1:7">
      <c r="A49">
        <v>48</v>
      </c>
      <c r="B49">
        <v>43</v>
      </c>
      <c r="C49">
        <v>42400.35</v>
      </c>
      <c r="D49" t="s">
        <v>7</v>
      </c>
      <c r="E49" t="s">
        <v>9</v>
      </c>
      <c r="F49" t="s">
        <v>15</v>
      </c>
      <c r="G49" t="s">
        <v>16</v>
      </c>
    </row>
    <row r="50" spans="1:7">
      <c r="A50">
        <v>49</v>
      </c>
      <c r="B50">
        <v>19</v>
      </c>
      <c r="C50">
        <v>30350.74</v>
      </c>
      <c r="D50" t="s">
        <v>7</v>
      </c>
      <c r="E50" t="s">
        <v>12</v>
      </c>
      <c r="F50" t="s">
        <v>15</v>
      </c>
      <c r="G50" t="s">
        <v>16</v>
      </c>
    </row>
    <row r="51" spans="1:7">
      <c r="A51">
        <v>50</v>
      </c>
      <c r="B51">
        <v>37</v>
      </c>
      <c r="C51">
        <v>94154.95</v>
      </c>
      <c r="D51" t="s">
        <v>7</v>
      </c>
      <c r="E51" t="s">
        <v>9</v>
      </c>
      <c r="F51" t="s">
        <v>14</v>
      </c>
      <c r="G51" t="s">
        <v>16</v>
      </c>
    </row>
    <row r="52" spans="1:7">
      <c r="A52">
        <v>51</v>
      </c>
      <c r="B52">
        <v>45</v>
      </c>
      <c r="C52">
        <v>33556.01</v>
      </c>
      <c r="D52" t="s">
        <v>7</v>
      </c>
      <c r="E52" t="s">
        <v>10</v>
      </c>
      <c r="F52" t="s">
        <v>13</v>
      </c>
      <c r="G52" t="s">
        <v>18</v>
      </c>
    </row>
    <row r="53" spans="1:7">
      <c r="A53">
        <v>52</v>
      </c>
      <c r="B53">
        <v>64</v>
      </c>
      <c r="C53">
        <v>63723.26</v>
      </c>
      <c r="D53" t="s">
        <v>7</v>
      </c>
      <c r="E53" t="s">
        <v>12</v>
      </c>
      <c r="F53" t="s">
        <v>15</v>
      </c>
      <c r="G53" t="s">
        <v>16</v>
      </c>
    </row>
    <row r="54" spans="1:7">
      <c r="A54">
        <v>53</v>
      </c>
      <c r="B54">
        <v>24</v>
      </c>
      <c r="C54">
        <v>40009.089999999997</v>
      </c>
      <c r="D54" t="s">
        <v>8</v>
      </c>
      <c r="E54" t="s">
        <v>10</v>
      </c>
      <c r="F54" t="s">
        <v>15</v>
      </c>
      <c r="G54" t="s">
        <v>16</v>
      </c>
    </row>
    <row r="55" spans="1:7">
      <c r="A55">
        <v>54</v>
      </c>
      <c r="B55">
        <v>61</v>
      </c>
      <c r="C55">
        <v>42293.19</v>
      </c>
      <c r="D55" t="s">
        <v>7</v>
      </c>
      <c r="E55" t="s">
        <v>12</v>
      </c>
      <c r="F55" t="s">
        <v>15</v>
      </c>
      <c r="G55" t="s">
        <v>17</v>
      </c>
    </row>
    <row r="56" spans="1:7">
      <c r="A56">
        <v>55</v>
      </c>
      <c r="B56">
        <v>25</v>
      </c>
      <c r="C56">
        <v>54519.839999999997</v>
      </c>
      <c r="D56" t="s">
        <v>8</v>
      </c>
      <c r="E56" t="s">
        <v>10</v>
      </c>
      <c r="F56" t="s">
        <v>14</v>
      </c>
      <c r="G56" t="s">
        <v>16</v>
      </c>
    </row>
    <row r="57" spans="1:7">
      <c r="A57">
        <v>56</v>
      </c>
      <c r="B57">
        <v>64</v>
      </c>
      <c r="C57">
        <v>28122.25</v>
      </c>
      <c r="D57" t="s">
        <v>8</v>
      </c>
      <c r="E57" t="s">
        <v>10</v>
      </c>
      <c r="F57" t="s">
        <v>14</v>
      </c>
      <c r="G57" t="s">
        <v>17</v>
      </c>
    </row>
    <row r="58" spans="1:7">
      <c r="A58">
        <v>57</v>
      </c>
      <c r="B58">
        <v>52</v>
      </c>
      <c r="C58">
        <v>40058.93</v>
      </c>
      <c r="D58" t="s">
        <v>7</v>
      </c>
      <c r="E58" t="s">
        <v>12</v>
      </c>
      <c r="F58" t="s">
        <v>14</v>
      </c>
      <c r="G58" t="s">
        <v>18</v>
      </c>
    </row>
    <row r="59" spans="1:7">
      <c r="A59">
        <v>58</v>
      </c>
      <c r="B59">
        <v>31</v>
      </c>
      <c r="C59">
        <v>47802.91</v>
      </c>
      <c r="D59" t="s">
        <v>8</v>
      </c>
      <c r="E59" t="s">
        <v>12</v>
      </c>
      <c r="F59" t="s">
        <v>14</v>
      </c>
      <c r="G59" t="s">
        <v>16</v>
      </c>
    </row>
    <row r="60" spans="1:7">
      <c r="A60">
        <v>59</v>
      </c>
      <c r="B60">
        <v>34</v>
      </c>
      <c r="C60">
        <v>37309.74</v>
      </c>
      <c r="D60" t="s">
        <v>7</v>
      </c>
      <c r="E60" t="s">
        <v>12</v>
      </c>
      <c r="F60" t="s">
        <v>14</v>
      </c>
      <c r="G60" t="s">
        <v>17</v>
      </c>
    </row>
    <row r="61" spans="1:7">
      <c r="A61">
        <v>60</v>
      </c>
      <c r="B61">
        <v>53</v>
      </c>
      <c r="C61">
        <v>37662.660000000003</v>
      </c>
      <c r="D61" t="s">
        <v>8</v>
      </c>
      <c r="E61" t="s">
        <v>11</v>
      </c>
      <c r="F61" t="s">
        <v>13</v>
      </c>
      <c r="G61" t="s">
        <v>17</v>
      </c>
    </row>
    <row r="62" spans="1:7">
      <c r="A62">
        <v>61</v>
      </c>
      <c r="B62">
        <v>57</v>
      </c>
      <c r="C62">
        <v>66300.91</v>
      </c>
      <c r="D62" t="s">
        <v>7</v>
      </c>
      <c r="E62" t="s">
        <v>9</v>
      </c>
      <c r="F62" t="s">
        <v>13</v>
      </c>
      <c r="G62" t="s">
        <v>18</v>
      </c>
    </row>
    <row r="63" spans="1:7">
      <c r="A63">
        <v>62</v>
      </c>
      <c r="B63">
        <v>21</v>
      </c>
      <c r="C63">
        <v>65074.8</v>
      </c>
      <c r="D63" t="s">
        <v>8</v>
      </c>
      <c r="E63" t="s">
        <v>11</v>
      </c>
      <c r="F63" t="s">
        <v>14</v>
      </c>
      <c r="G63" t="s">
        <v>16</v>
      </c>
    </row>
    <row r="64" spans="1:7">
      <c r="A64">
        <v>63</v>
      </c>
      <c r="B64">
        <v>19</v>
      </c>
      <c r="C64">
        <v>43373.51</v>
      </c>
      <c r="D64" t="s">
        <v>7</v>
      </c>
      <c r="E64" t="s">
        <v>11</v>
      </c>
      <c r="F64" t="s">
        <v>15</v>
      </c>
      <c r="G64" t="s">
        <v>16</v>
      </c>
    </row>
    <row r="65" spans="1:7">
      <c r="A65">
        <v>64</v>
      </c>
      <c r="B65">
        <v>23</v>
      </c>
      <c r="C65">
        <v>48737.52</v>
      </c>
      <c r="D65" t="s">
        <v>7</v>
      </c>
      <c r="E65" t="s">
        <v>10</v>
      </c>
      <c r="F65" t="s">
        <v>14</v>
      </c>
      <c r="G65" t="s">
        <v>17</v>
      </c>
    </row>
    <row r="66" spans="1:7">
      <c r="A66">
        <v>65</v>
      </c>
      <c r="B66">
        <v>59</v>
      </c>
      <c r="C66">
        <v>68555.240000000005</v>
      </c>
      <c r="D66" t="s">
        <v>7</v>
      </c>
      <c r="E66" t="s">
        <v>12</v>
      </c>
      <c r="F66" t="s">
        <v>13</v>
      </c>
      <c r="G66" t="s">
        <v>16</v>
      </c>
    </row>
    <row r="67" spans="1:7">
      <c r="A67">
        <v>66</v>
      </c>
      <c r="B67">
        <v>21</v>
      </c>
      <c r="C67">
        <v>28602.82</v>
      </c>
      <c r="D67" t="s">
        <v>7</v>
      </c>
      <c r="E67" t="s">
        <v>9</v>
      </c>
      <c r="F67" t="s">
        <v>13</v>
      </c>
      <c r="G67" t="s">
        <v>17</v>
      </c>
    </row>
    <row r="68" spans="1:7">
      <c r="A68">
        <v>67</v>
      </c>
      <c r="B68">
        <v>46</v>
      </c>
      <c r="C68">
        <v>55070.34</v>
      </c>
      <c r="D68" t="s">
        <v>7</v>
      </c>
      <c r="E68" t="s">
        <v>10</v>
      </c>
      <c r="F68" t="s">
        <v>15</v>
      </c>
      <c r="G68" t="s">
        <v>16</v>
      </c>
    </row>
    <row r="69" spans="1:7">
      <c r="A69">
        <v>68</v>
      </c>
      <c r="B69">
        <v>35</v>
      </c>
      <c r="C69">
        <v>79618.570000000007</v>
      </c>
      <c r="D69" t="s">
        <v>8</v>
      </c>
      <c r="E69" t="s">
        <v>11</v>
      </c>
      <c r="F69" t="s">
        <v>13</v>
      </c>
      <c r="G69" t="s">
        <v>17</v>
      </c>
    </row>
    <row r="70" spans="1:7">
      <c r="A70">
        <v>69</v>
      </c>
      <c r="B70">
        <v>43</v>
      </c>
      <c r="C70">
        <v>79475.520000000004</v>
      </c>
      <c r="D70" t="s">
        <v>8</v>
      </c>
      <c r="E70" t="s">
        <v>12</v>
      </c>
      <c r="F70" t="s">
        <v>14</v>
      </c>
      <c r="G70" t="s">
        <v>16</v>
      </c>
    </row>
    <row r="71" spans="1:7">
      <c r="A71">
        <v>70</v>
      </c>
      <c r="B71">
        <v>61</v>
      </c>
      <c r="C71">
        <v>20901.330000000002</v>
      </c>
      <c r="D71" t="s">
        <v>8</v>
      </c>
      <c r="E71" t="s">
        <v>10</v>
      </c>
      <c r="F71" t="s">
        <v>15</v>
      </c>
      <c r="G71" t="s">
        <v>18</v>
      </c>
    </row>
    <row r="72" spans="1:7">
      <c r="A72">
        <v>71</v>
      </c>
      <c r="B72">
        <v>51</v>
      </c>
      <c r="C72">
        <v>38560.6</v>
      </c>
      <c r="D72" t="s">
        <v>7</v>
      </c>
      <c r="E72" t="s">
        <v>12</v>
      </c>
      <c r="F72" t="s">
        <v>14</v>
      </c>
      <c r="G72" t="s">
        <v>16</v>
      </c>
    </row>
    <row r="73" spans="1:7">
      <c r="A73">
        <v>72</v>
      </c>
      <c r="B73">
        <v>27</v>
      </c>
      <c r="C73">
        <v>52529.89</v>
      </c>
      <c r="D73" t="s">
        <v>8</v>
      </c>
      <c r="E73" t="s">
        <v>10</v>
      </c>
      <c r="F73" t="s">
        <v>14</v>
      </c>
      <c r="G73" t="s">
        <v>16</v>
      </c>
    </row>
    <row r="74" spans="1:7">
      <c r="A74">
        <v>73</v>
      </c>
      <c r="B74">
        <v>53</v>
      </c>
      <c r="C74">
        <v>30171.85</v>
      </c>
      <c r="D74" t="s">
        <v>7</v>
      </c>
      <c r="E74" t="s">
        <v>12</v>
      </c>
      <c r="F74" t="s">
        <v>15</v>
      </c>
      <c r="G74" t="s">
        <v>18</v>
      </c>
    </row>
    <row r="75" spans="1:7">
      <c r="A75">
        <v>74</v>
      </c>
      <c r="B75">
        <v>31</v>
      </c>
      <c r="C75">
        <v>39976.300000000003</v>
      </c>
      <c r="D75" t="s">
        <v>7</v>
      </c>
      <c r="E75" t="s">
        <v>11</v>
      </c>
      <c r="F75" t="s">
        <v>14</v>
      </c>
      <c r="G75" t="s">
        <v>16</v>
      </c>
    </row>
    <row r="76" spans="1:7">
      <c r="A76">
        <v>75</v>
      </c>
      <c r="B76">
        <v>48</v>
      </c>
      <c r="C76">
        <v>47940.63</v>
      </c>
      <c r="D76" t="s">
        <v>8</v>
      </c>
      <c r="E76" t="s">
        <v>9</v>
      </c>
      <c r="F76" t="s">
        <v>13</v>
      </c>
      <c r="G76" t="s">
        <v>18</v>
      </c>
    </row>
    <row r="77" spans="1:7">
      <c r="A77">
        <v>76</v>
      </c>
      <c r="B77">
        <v>32</v>
      </c>
      <c r="C77">
        <v>71019.820000000007</v>
      </c>
      <c r="D77" t="s">
        <v>8</v>
      </c>
      <c r="E77" t="s">
        <v>11</v>
      </c>
      <c r="F77" t="s">
        <v>14</v>
      </c>
      <c r="G77" t="s">
        <v>16</v>
      </c>
    </row>
    <row r="78" spans="1:7">
      <c r="A78">
        <v>77</v>
      </c>
      <c r="B78">
        <v>25</v>
      </c>
      <c r="C78">
        <v>49318.96</v>
      </c>
      <c r="D78" t="s">
        <v>7</v>
      </c>
      <c r="E78" t="s">
        <v>9</v>
      </c>
      <c r="F78" t="s">
        <v>15</v>
      </c>
      <c r="G78" t="s">
        <v>17</v>
      </c>
    </row>
    <row r="79" spans="1:7">
      <c r="A79">
        <v>78</v>
      </c>
      <c r="B79">
        <v>31</v>
      </c>
      <c r="C79">
        <v>53254.05</v>
      </c>
      <c r="D79" t="s">
        <v>8</v>
      </c>
      <c r="E79" t="s">
        <v>12</v>
      </c>
      <c r="F79" t="s">
        <v>15</v>
      </c>
      <c r="G79" t="s">
        <v>17</v>
      </c>
    </row>
    <row r="80" spans="1:7">
      <c r="A80">
        <v>79</v>
      </c>
      <c r="B80">
        <v>40</v>
      </c>
      <c r="C80">
        <v>57686.36</v>
      </c>
      <c r="D80" t="s">
        <v>7</v>
      </c>
      <c r="E80" t="s">
        <v>10</v>
      </c>
      <c r="F80" t="s">
        <v>15</v>
      </c>
      <c r="G80" t="s">
        <v>16</v>
      </c>
    </row>
    <row r="81" spans="1:7">
      <c r="A81">
        <v>80</v>
      </c>
      <c r="B81">
        <v>57</v>
      </c>
      <c r="C81">
        <v>58152.33</v>
      </c>
      <c r="D81" t="s">
        <v>7</v>
      </c>
      <c r="E81" t="s">
        <v>11</v>
      </c>
      <c r="F81" t="s">
        <v>14</v>
      </c>
      <c r="G81" t="s">
        <v>16</v>
      </c>
    </row>
    <row r="82" spans="1:7">
      <c r="A82">
        <v>81</v>
      </c>
      <c r="B82">
        <v>38</v>
      </c>
      <c r="C82">
        <v>50421.49</v>
      </c>
      <c r="D82" t="s">
        <v>7</v>
      </c>
      <c r="E82" t="s">
        <v>9</v>
      </c>
      <c r="F82" t="s">
        <v>15</v>
      </c>
      <c r="G82" t="s">
        <v>16</v>
      </c>
    </row>
    <row r="83" spans="1:7">
      <c r="A83">
        <v>82</v>
      </c>
      <c r="B83">
        <v>33</v>
      </c>
      <c r="C83">
        <v>32043.69</v>
      </c>
      <c r="D83" t="s">
        <v>7</v>
      </c>
      <c r="E83" t="s">
        <v>11</v>
      </c>
      <c r="F83" t="s">
        <v>15</v>
      </c>
      <c r="G83" t="s">
        <v>17</v>
      </c>
    </row>
    <row r="84" spans="1:7">
      <c r="A84">
        <v>83</v>
      </c>
      <c r="B84">
        <v>62</v>
      </c>
      <c r="C84">
        <v>61845.09</v>
      </c>
      <c r="D84" t="s">
        <v>7</v>
      </c>
      <c r="E84" t="s">
        <v>9</v>
      </c>
      <c r="F84" t="s">
        <v>14</v>
      </c>
      <c r="G84" t="s">
        <v>16</v>
      </c>
    </row>
    <row r="85" spans="1:7">
      <c r="A85">
        <v>84</v>
      </c>
      <c r="B85">
        <v>35</v>
      </c>
      <c r="C85">
        <v>56472.34</v>
      </c>
      <c r="D85" t="s">
        <v>8</v>
      </c>
      <c r="E85" t="s">
        <v>11</v>
      </c>
      <c r="F85" t="s">
        <v>13</v>
      </c>
      <c r="G85" t="s">
        <v>17</v>
      </c>
    </row>
    <row r="86" spans="1:7">
      <c r="A86">
        <v>85</v>
      </c>
      <c r="B86">
        <v>64</v>
      </c>
      <c r="C86">
        <v>33548.720000000001</v>
      </c>
      <c r="D86" t="s">
        <v>8</v>
      </c>
      <c r="E86" t="s">
        <v>9</v>
      </c>
      <c r="F86" t="s">
        <v>14</v>
      </c>
      <c r="G86" t="s">
        <v>18</v>
      </c>
    </row>
    <row r="87" spans="1:7">
      <c r="A87">
        <v>86</v>
      </c>
      <c r="B87">
        <v>41</v>
      </c>
      <c r="C87">
        <v>39765.480000000003</v>
      </c>
      <c r="D87" t="s">
        <v>7</v>
      </c>
      <c r="E87" t="s">
        <v>9</v>
      </c>
      <c r="F87" t="s">
        <v>15</v>
      </c>
      <c r="G87" t="s">
        <v>17</v>
      </c>
    </row>
    <row r="88" spans="1:7">
      <c r="A88">
        <v>87</v>
      </c>
      <c r="B88">
        <v>43</v>
      </c>
      <c r="C88">
        <v>63312.67</v>
      </c>
      <c r="D88" t="s">
        <v>7</v>
      </c>
      <c r="E88" t="s">
        <v>12</v>
      </c>
      <c r="F88" t="s">
        <v>15</v>
      </c>
      <c r="G88" t="s">
        <v>17</v>
      </c>
    </row>
    <row r="89" spans="1:7">
      <c r="A89">
        <v>88</v>
      </c>
      <c r="B89">
        <v>42</v>
      </c>
      <c r="C89">
        <v>59082.25</v>
      </c>
      <c r="D89" t="s">
        <v>8</v>
      </c>
      <c r="E89" t="s">
        <v>9</v>
      </c>
      <c r="F89" t="s">
        <v>14</v>
      </c>
      <c r="G89" t="s">
        <v>18</v>
      </c>
    </row>
    <row r="90" spans="1:7">
      <c r="A90">
        <v>89</v>
      </c>
      <c r="B90">
        <v>62</v>
      </c>
      <c r="C90">
        <v>39195.53</v>
      </c>
      <c r="D90" t="s">
        <v>8</v>
      </c>
      <c r="E90" t="s">
        <v>12</v>
      </c>
      <c r="F90" t="s">
        <v>13</v>
      </c>
      <c r="G90" t="s">
        <v>17</v>
      </c>
    </row>
    <row r="91" spans="1:7">
      <c r="A91">
        <v>90</v>
      </c>
      <c r="B91">
        <v>58</v>
      </c>
      <c r="C91">
        <v>45950.99</v>
      </c>
      <c r="D91" t="s">
        <v>7</v>
      </c>
      <c r="E91" t="s">
        <v>9</v>
      </c>
      <c r="F91" t="s">
        <v>15</v>
      </c>
      <c r="G91" t="s">
        <v>16</v>
      </c>
    </row>
    <row r="92" spans="1:7">
      <c r="A92">
        <v>91</v>
      </c>
      <c r="B92">
        <v>46</v>
      </c>
      <c r="C92">
        <v>47848.07</v>
      </c>
      <c r="D92" t="s">
        <v>8</v>
      </c>
      <c r="E92" t="s">
        <v>10</v>
      </c>
      <c r="F92" t="s">
        <v>15</v>
      </c>
      <c r="G92" t="s">
        <v>16</v>
      </c>
    </row>
    <row r="93" spans="1:7">
      <c r="A93">
        <v>92</v>
      </c>
      <c r="B93">
        <v>32</v>
      </c>
      <c r="C93">
        <v>59255.06</v>
      </c>
      <c r="D93" t="s">
        <v>7</v>
      </c>
      <c r="E93" t="s">
        <v>10</v>
      </c>
      <c r="F93" t="s">
        <v>15</v>
      </c>
      <c r="G93" t="s">
        <v>17</v>
      </c>
    </row>
    <row r="94" spans="1:7">
      <c r="A94">
        <v>93</v>
      </c>
      <c r="B94">
        <v>62</v>
      </c>
      <c r="C94">
        <v>68734.11</v>
      </c>
      <c r="D94" t="s">
        <v>8</v>
      </c>
      <c r="E94" t="s">
        <v>10</v>
      </c>
      <c r="F94" t="s">
        <v>14</v>
      </c>
      <c r="G94" t="s">
        <v>16</v>
      </c>
    </row>
    <row r="95" spans="1:7">
      <c r="A95">
        <v>94</v>
      </c>
      <c r="B95">
        <v>18</v>
      </c>
      <c r="C95">
        <v>50984.74</v>
      </c>
      <c r="D95" t="s">
        <v>7</v>
      </c>
      <c r="E95" t="s">
        <v>9</v>
      </c>
      <c r="F95" t="s">
        <v>15</v>
      </c>
      <c r="G95" t="s">
        <v>17</v>
      </c>
    </row>
    <row r="96" spans="1:7">
      <c r="A96">
        <v>95</v>
      </c>
      <c r="B96">
        <v>42</v>
      </c>
      <c r="C96">
        <v>67538.11</v>
      </c>
      <c r="D96" t="s">
        <v>8</v>
      </c>
      <c r="E96" t="s">
        <v>12</v>
      </c>
      <c r="F96" t="s">
        <v>13</v>
      </c>
      <c r="G96" t="s">
        <v>16</v>
      </c>
    </row>
    <row r="97" spans="1:7">
      <c r="A97">
        <v>96</v>
      </c>
      <c r="B97">
        <v>24</v>
      </c>
      <c r="C97">
        <v>63099.75</v>
      </c>
      <c r="D97" t="s">
        <v>7</v>
      </c>
      <c r="E97" t="s">
        <v>12</v>
      </c>
      <c r="F97" t="s">
        <v>15</v>
      </c>
      <c r="G97" t="s">
        <v>16</v>
      </c>
    </row>
    <row r="98" spans="1:7">
      <c r="A98">
        <v>97</v>
      </c>
      <c r="B98">
        <v>26</v>
      </c>
      <c r="C98">
        <v>53084.75</v>
      </c>
      <c r="D98" t="s">
        <v>8</v>
      </c>
      <c r="E98" t="s">
        <v>9</v>
      </c>
      <c r="F98" t="s">
        <v>15</v>
      </c>
      <c r="G98" t="s">
        <v>17</v>
      </c>
    </row>
    <row r="99" spans="1:7">
      <c r="A99">
        <v>98</v>
      </c>
      <c r="B99">
        <v>41</v>
      </c>
      <c r="C99">
        <v>28347.75</v>
      </c>
      <c r="D99" t="s">
        <v>8</v>
      </c>
      <c r="E99" t="s">
        <v>10</v>
      </c>
      <c r="F99" t="s">
        <v>13</v>
      </c>
      <c r="G99" t="s">
        <v>16</v>
      </c>
    </row>
    <row r="100" spans="1:7">
      <c r="A100">
        <v>99</v>
      </c>
      <c r="B100">
        <v>18</v>
      </c>
      <c r="C100">
        <v>34584.339999999997</v>
      </c>
      <c r="D100" t="s">
        <v>7</v>
      </c>
      <c r="E100" t="s">
        <v>10</v>
      </c>
      <c r="F100" t="s">
        <v>15</v>
      </c>
      <c r="G100" t="s">
        <v>17</v>
      </c>
    </row>
    <row r="101" spans="1:7">
      <c r="A101">
        <v>100</v>
      </c>
      <c r="B101">
        <v>61</v>
      </c>
      <c r="C101">
        <v>61118.61</v>
      </c>
      <c r="D101" t="s">
        <v>8</v>
      </c>
      <c r="E101" t="s">
        <v>12</v>
      </c>
      <c r="F101" t="s">
        <v>14</v>
      </c>
      <c r="G10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5D17-4A5D-AB4E-8B43-33214A1C12BD}">
  <sheetPr>
    <tabColor rgb="FF92D050"/>
  </sheetPr>
  <dimension ref="A1:P101"/>
  <sheetViews>
    <sheetView workbookViewId="0">
      <selection activeCell="H2" sqref="H2"/>
    </sheetView>
  </sheetViews>
  <sheetFormatPr baseColWidth="10" defaultRowHeight="15"/>
  <cols>
    <col min="1" max="1" width="10.6640625" bestFit="1" customWidth="1"/>
    <col min="2" max="2" width="9.1640625" bestFit="1" customWidth="1"/>
    <col min="3" max="3" width="7" bestFit="1" customWidth="1"/>
    <col min="6" max="6" width="16.83203125" bestFit="1" customWidth="1"/>
    <col min="7" max="7" width="24.1640625" bestFit="1" customWidth="1"/>
    <col min="9" max="9" width="19.83203125" customWidth="1"/>
    <col min="12" max="12" width="10" bestFit="1" customWidth="1"/>
    <col min="13" max="13" width="17.6640625" bestFit="1" customWidth="1"/>
    <col min="14" max="14" width="14.83203125" bestFit="1" customWidth="1"/>
    <col min="15" max="15" width="7" bestFit="1" customWidth="1"/>
    <col min="16" max="16" width="10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19</v>
      </c>
      <c r="I1" s="2"/>
      <c r="J1" s="2"/>
      <c r="K1" s="2"/>
      <c r="L1" s="2" t="s">
        <v>50</v>
      </c>
    </row>
    <row r="2" spans="1:16">
      <c r="A2">
        <v>1</v>
      </c>
      <c r="B2">
        <v>56</v>
      </c>
      <c r="C2">
        <v>59544.58</v>
      </c>
      <c r="D2" t="s">
        <v>7</v>
      </c>
      <c r="E2" t="s">
        <v>9</v>
      </c>
      <c r="F2" t="s">
        <v>13</v>
      </c>
      <c r="G2" t="s">
        <v>16</v>
      </c>
      <c r="H2" t="str">
        <f>IF(A2&lt;25,"18-24",IF(A2&lt;35,"25-34",IF(A2&lt;45,"35-44",IF(A2&lt;55,"45-54","55+"))))</f>
        <v>18-24</v>
      </c>
      <c r="L2" s="11"/>
    </row>
    <row r="3" spans="1:16">
      <c r="A3">
        <v>2</v>
      </c>
      <c r="B3">
        <v>46</v>
      </c>
      <c r="C3">
        <v>36399.19</v>
      </c>
      <c r="D3" t="s">
        <v>7</v>
      </c>
      <c r="E3" t="s">
        <v>10</v>
      </c>
      <c r="F3" t="s">
        <v>14</v>
      </c>
      <c r="G3" t="s">
        <v>16</v>
      </c>
      <c r="H3" t="str">
        <f>IF(A3&lt;25,"18-24",IF(A3&lt;35,"25-34",IF(A3&lt;45,"35-44",IF(A3&lt;55,"45-54","55+"))))</f>
        <v>18-24</v>
      </c>
    </row>
    <row r="4" spans="1:16">
      <c r="A4">
        <v>3</v>
      </c>
      <c r="B4">
        <v>32</v>
      </c>
      <c r="C4">
        <v>57140.639999999999</v>
      </c>
      <c r="D4" t="s">
        <v>7</v>
      </c>
      <c r="E4" t="s">
        <v>9</v>
      </c>
      <c r="F4" t="s">
        <v>15</v>
      </c>
      <c r="G4" t="s">
        <v>17</v>
      </c>
      <c r="H4" t="str">
        <f>IF(A4&lt;25,"18-24",IF(A4&lt;35,"25-34",IF(A4&lt;45,"35-44",IF(A4&lt;55,"45-54","55+"))))</f>
        <v>18-24</v>
      </c>
      <c r="M4" s="3" t="s">
        <v>28</v>
      </c>
      <c r="N4" s="3" t="s">
        <v>27</v>
      </c>
    </row>
    <row r="5" spans="1:16">
      <c r="A5">
        <v>4</v>
      </c>
      <c r="B5">
        <v>60</v>
      </c>
      <c r="C5">
        <v>69554.92</v>
      </c>
      <c r="D5" t="s">
        <v>8</v>
      </c>
      <c r="E5" t="s">
        <v>10</v>
      </c>
      <c r="F5" t="s">
        <v>13</v>
      </c>
      <c r="G5" t="s">
        <v>18</v>
      </c>
      <c r="H5" t="str">
        <f>IF(A5&lt;25,"18-24",IF(A5&lt;35,"25-34",IF(A5&lt;45,"35-44",IF(A5&lt;55,"45-54","55+"))))</f>
        <v>18-24</v>
      </c>
      <c r="M5" s="3" t="s">
        <v>20</v>
      </c>
      <c r="N5" t="s">
        <v>7</v>
      </c>
      <c r="O5" t="s">
        <v>8</v>
      </c>
      <c r="P5" t="s">
        <v>26</v>
      </c>
    </row>
    <row r="6" spans="1:16">
      <c r="A6">
        <v>5</v>
      </c>
      <c r="B6">
        <v>25</v>
      </c>
      <c r="C6">
        <v>53173.81</v>
      </c>
      <c r="D6" t="s">
        <v>7</v>
      </c>
      <c r="E6" t="s">
        <v>9</v>
      </c>
      <c r="F6" t="s">
        <v>15</v>
      </c>
      <c r="G6" t="s">
        <v>16</v>
      </c>
      <c r="H6" t="str">
        <f>IF(A6&lt;25,"18-24",IF(A6&lt;35,"25-34",IF(A6&lt;45,"35-44",IF(A6&lt;55,"45-54","55+"))))</f>
        <v>18-24</v>
      </c>
      <c r="M6" s="4" t="s">
        <v>21</v>
      </c>
      <c r="N6" s="10">
        <v>0.12</v>
      </c>
      <c r="O6" s="10">
        <v>0.12</v>
      </c>
      <c r="P6" s="10">
        <v>0.24</v>
      </c>
    </row>
    <row r="7" spans="1:16">
      <c r="A7">
        <v>6</v>
      </c>
      <c r="B7">
        <v>38</v>
      </c>
      <c r="C7">
        <v>58955.67</v>
      </c>
      <c r="D7" t="s">
        <v>7</v>
      </c>
      <c r="E7" t="s">
        <v>11</v>
      </c>
      <c r="F7" t="s">
        <v>14</v>
      </c>
      <c r="G7" t="s">
        <v>17</v>
      </c>
      <c r="H7" t="str">
        <f>IF(A7&lt;25,"18-24",IF(A7&lt;35,"25-34",IF(A7&lt;45,"35-44",IF(A7&lt;55,"45-54","55+"))))</f>
        <v>18-24</v>
      </c>
      <c r="M7" s="4" t="s">
        <v>22</v>
      </c>
      <c r="N7" s="10">
        <v>7.0000000000000007E-2</v>
      </c>
      <c r="O7" s="10">
        <v>0.03</v>
      </c>
      <c r="P7" s="10">
        <v>0.1</v>
      </c>
    </row>
    <row r="8" spans="1:16">
      <c r="A8">
        <v>7</v>
      </c>
      <c r="B8">
        <v>56</v>
      </c>
      <c r="C8">
        <v>36554.97</v>
      </c>
      <c r="D8" t="s">
        <v>8</v>
      </c>
      <c r="E8" t="s">
        <v>9</v>
      </c>
      <c r="F8" t="s">
        <v>15</v>
      </c>
      <c r="G8" t="s">
        <v>18</v>
      </c>
      <c r="H8" t="str">
        <f>IF(A8&lt;25,"18-24",IF(A8&lt;35,"25-34",IF(A8&lt;45,"35-44",IF(A8&lt;55,"45-54","55+"))))</f>
        <v>18-24</v>
      </c>
      <c r="M8" s="4" t="s">
        <v>23</v>
      </c>
      <c r="N8" s="10">
        <v>7.0000000000000007E-2</v>
      </c>
      <c r="O8" s="10">
        <v>0.03</v>
      </c>
      <c r="P8" s="10">
        <v>0.1</v>
      </c>
    </row>
    <row r="9" spans="1:16">
      <c r="A9">
        <v>8</v>
      </c>
      <c r="B9">
        <v>36</v>
      </c>
      <c r="C9">
        <v>48320.18</v>
      </c>
      <c r="D9" t="s">
        <v>7</v>
      </c>
      <c r="E9" t="s">
        <v>11</v>
      </c>
      <c r="F9" t="s">
        <v>15</v>
      </c>
      <c r="G9" t="s">
        <v>17</v>
      </c>
      <c r="H9" t="str">
        <f>IF(A9&lt;25,"18-24",IF(A9&lt;35,"25-34",IF(A9&lt;45,"35-44",IF(A9&lt;55,"45-54","55+"))))</f>
        <v>18-24</v>
      </c>
      <c r="M9" s="4" t="s">
        <v>24</v>
      </c>
      <c r="N9" s="10">
        <v>7.0000000000000007E-2</v>
      </c>
      <c r="O9" s="10">
        <v>0.03</v>
      </c>
      <c r="P9" s="10">
        <v>0.1</v>
      </c>
    </row>
    <row r="10" spans="1:16">
      <c r="A10">
        <v>9</v>
      </c>
      <c r="B10">
        <v>40</v>
      </c>
      <c r="C10">
        <v>72034.12</v>
      </c>
      <c r="D10" t="s">
        <v>8</v>
      </c>
      <c r="E10" t="s">
        <v>9</v>
      </c>
      <c r="F10" t="s">
        <v>15</v>
      </c>
      <c r="G10" t="s">
        <v>16</v>
      </c>
      <c r="H10" t="str">
        <f>IF(A10&lt;25,"18-24",IF(A10&lt;35,"25-34",IF(A10&lt;45,"35-44",IF(A10&lt;55,"45-54","55+"))))</f>
        <v>18-24</v>
      </c>
      <c r="M10" s="4" t="s">
        <v>25</v>
      </c>
      <c r="N10" s="10">
        <v>0.24</v>
      </c>
      <c r="O10" s="10">
        <v>0.22</v>
      </c>
      <c r="P10" s="10">
        <v>0.46</v>
      </c>
    </row>
    <row r="11" spans="1:16">
      <c r="A11">
        <v>10</v>
      </c>
      <c r="B11">
        <v>28</v>
      </c>
      <c r="C11">
        <v>33141.519999999997</v>
      </c>
      <c r="D11" t="s">
        <v>7</v>
      </c>
      <c r="E11" t="s">
        <v>9</v>
      </c>
      <c r="F11" t="s">
        <v>15</v>
      </c>
      <c r="G11" t="s">
        <v>16</v>
      </c>
      <c r="H11" t="str">
        <f>IF(A11&lt;25,"18-24",IF(A11&lt;35,"25-34",IF(A11&lt;45,"35-44",IF(A11&lt;55,"45-54","55+"))))</f>
        <v>18-24</v>
      </c>
      <c r="M11" s="4" t="s">
        <v>26</v>
      </c>
      <c r="N11" s="10">
        <v>0.56999999999999995</v>
      </c>
      <c r="O11" s="10">
        <v>0.43</v>
      </c>
      <c r="P11" s="10">
        <v>1</v>
      </c>
    </row>
    <row r="12" spans="1:16">
      <c r="A12">
        <v>11</v>
      </c>
      <c r="B12">
        <v>28</v>
      </c>
      <c r="C12">
        <v>64250.080000000002</v>
      </c>
      <c r="D12" t="s">
        <v>7</v>
      </c>
      <c r="E12" t="s">
        <v>12</v>
      </c>
      <c r="F12" t="s">
        <v>14</v>
      </c>
      <c r="G12" t="s">
        <v>16</v>
      </c>
      <c r="H12" t="str">
        <f>IF(A12&lt;25,"18-24",IF(A12&lt;35,"25-34",IF(A12&lt;45,"35-44",IF(A12&lt;55,"45-54","55+"))))</f>
        <v>18-24</v>
      </c>
    </row>
    <row r="13" spans="1:16">
      <c r="A13">
        <v>12</v>
      </c>
      <c r="B13">
        <v>41</v>
      </c>
      <c r="C13">
        <v>75897.75</v>
      </c>
      <c r="D13" t="s">
        <v>7</v>
      </c>
      <c r="E13" t="s">
        <v>11</v>
      </c>
      <c r="F13" t="s">
        <v>15</v>
      </c>
      <c r="G13" t="s">
        <v>17</v>
      </c>
      <c r="H13" t="str">
        <f>IF(A13&lt;25,"18-24",IF(A13&lt;35,"25-34",IF(A13&lt;45,"35-44",IF(A13&lt;55,"45-54","55+"))))</f>
        <v>18-24</v>
      </c>
    </row>
    <row r="14" spans="1:16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 t="s">
        <v>17</v>
      </c>
      <c r="H14" t="str">
        <f>IF(A14&lt;25,"18-24",IF(A14&lt;35,"25-34",IF(A14&lt;45,"35-44",IF(A14&lt;55,"45-54","55+"))))</f>
        <v>18-24</v>
      </c>
    </row>
    <row r="15" spans="1:16">
      <c r="A15">
        <v>14</v>
      </c>
      <c r="B15">
        <v>57</v>
      </c>
      <c r="C15">
        <v>24735.69</v>
      </c>
      <c r="D15" t="s">
        <v>8</v>
      </c>
      <c r="E15" t="s">
        <v>11</v>
      </c>
      <c r="F15" t="s">
        <v>13</v>
      </c>
      <c r="G15" t="s">
        <v>16</v>
      </c>
      <c r="H15" t="str">
        <f>IF(A15&lt;25,"18-24",IF(A15&lt;35,"25-34",IF(A15&lt;45,"35-44",IF(A15&lt;55,"45-54","55+"))))</f>
        <v>18-24</v>
      </c>
    </row>
    <row r="16" spans="1:16">
      <c r="A16">
        <v>15</v>
      </c>
      <c r="B16">
        <v>41</v>
      </c>
      <c r="C16">
        <v>54902.68</v>
      </c>
      <c r="D16" t="s">
        <v>7</v>
      </c>
      <c r="E16" t="s">
        <v>12</v>
      </c>
      <c r="F16" t="s">
        <v>15</v>
      </c>
      <c r="G16" t="s">
        <v>17</v>
      </c>
      <c r="H16" t="str">
        <f>IF(A16&lt;25,"18-24",IF(A16&lt;35,"25-34",IF(A16&lt;45,"35-44",IF(A16&lt;55,"45-54","55+"))))</f>
        <v>18-24</v>
      </c>
    </row>
    <row r="17" spans="1:8">
      <c r="A17">
        <v>16</v>
      </c>
      <c r="B17">
        <v>20</v>
      </c>
      <c r="C17">
        <v>48783.22</v>
      </c>
      <c r="D17" t="s">
        <v>8</v>
      </c>
      <c r="E17" t="s">
        <v>10</v>
      </c>
      <c r="F17" t="s">
        <v>13</v>
      </c>
      <c r="G17" t="s">
        <v>16</v>
      </c>
      <c r="H17" t="str">
        <f>IF(A17&lt;25,"18-24",IF(A17&lt;35,"25-34",IF(A17&lt;45,"35-44",IF(A17&lt;55,"45-54","55+"))))</f>
        <v>18-24</v>
      </c>
    </row>
    <row r="18" spans="1:8">
      <c r="A18">
        <v>17</v>
      </c>
      <c r="B18">
        <v>39</v>
      </c>
      <c r="C18">
        <v>57016.92</v>
      </c>
      <c r="D18" t="s">
        <v>8</v>
      </c>
      <c r="E18" t="s">
        <v>9</v>
      </c>
      <c r="F18" t="s">
        <v>14</v>
      </c>
      <c r="G18" t="s">
        <v>16</v>
      </c>
      <c r="H18" t="str">
        <f>IF(A18&lt;25,"18-24",IF(A18&lt;35,"25-34",IF(A18&lt;45,"35-44",IF(A18&lt;55,"45-54","55+"))))</f>
        <v>18-24</v>
      </c>
    </row>
    <row r="19" spans="1:8">
      <c r="A19">
        <v>18</v>
      </c>
      <c r="B19">
        <v>19</v>
      </c>
      <c r="C19">
        <v>61041.84</v>
      </c>
      <c r="D19" t="s">
        <v>8</v>
      </c>
      <c r="E19" t="s">
        <v>11</v>
      </c>
      <c r="F19" t="s">
        <v>14</v>
      </c>
      <c r="G19" t="s">
        <v>18</v>
      </c>
      <c r="H19" t="str">
        <f>IF(A19&lt;25,"18-24",IF(A19&lt;35,"25-34",IF(A19&lt;45,"35-44",IF(A19&lt;55,"45-54","55+"))))</f>
        <v>18-24</v>
      </c>
    </row>
    <row r="20" spans="1:8">
      <c r="A20">
        <v>19</v>
      </c>
      <c r="B20">
        <v>41</v>
      </c>
      <c r="C20">
        <v>38304.47</v>
      </c>
      <c r="D20" t="s">
        <v>8</v>
      </c>
      <c r="E20" t="s">
        <v>11</v>
      </c>
      <c r="F20" t="s">
        <v>14</v>
      </c>
      <c r="G20" t="s">
        <v>17</v>
      </c>
      <c r="H20" t="str">
        <f>IF(A20&lt;25,"18-24",IF(A20&lt;35,"25-34",IF(A20&lt;45,"35-44",IF(A20&lt;55,"45-54","55+"))))</f>
        <v>18-24</v>
      </c>
    </row>
    <row r="21" spans="1:8">
      <c r="A21">
        <v>20</v>
      </c>
      <c r="B21">
        <v>61</v>
      </c>
      <c r="C21">
        <v>37341.550000000003</v>
      </c>
      <c r="D21" t="s">
        <v>8</v>
      </c>
      <c r="E21" t="s">
        <v>9</v>
      </c>
      <c r="F21" t="s">
        <v>14</v>
      </c>
      <c r="G21" t="s">
        <v>16</v>
      </c>
      <c r="H21" t="str">
        <f>IF(A21&lt;25,"18-24",IF(A21&lt;35,"25-34",IF(A21&lt;45,"35-44",IF(A21&lt;55,"45-54","55+"))))</f>
        <v>18-24</v>
      </c>
    </row>
    <row r="22" spans="1:8">
      <c r="A22">
        <v>21</v>
      </c>
      <c r="B22">
        <v>47</v>
      </c>
      <c r="C22">
        <v>47741.99</v>
      </c>
      <c r="D22" t="s">
        <v>8</v>
      </c>
      <c r="E22" t="s">
        <v>11</v>
      </c>
      <c r="F22" t="s">
        <v>13</v>
      </c>
      <c r="G22" t="s">
        <v>16</v>
      </c>
      <c r="H22" t="str">
        <f>IF(A22&lt;25,"18-24",IF(A22&lt;35,"25-34",IF(A22&lt;45,"35-44",IF(A22&lt;55,"45-54","55+"))))</f>
        <v>18-24</v>
      </c>
    </row>
    <row r="23" spans="1:8">
      <c r="A23">
        <v>22</v>
      </c>
      <c r="B23">
        <v>55</v>
      </c>
      <c r="C23">
        <v>35516.629999999997</v>
      </c>
      <c r="D23" t="s">
        <v>7</v>
      </c>
      <c r="E23" t="s">
        <v>11</v>
      </c>
      <c r="F23" t="s">
        <v>15</v>
      </c>
      <c r="G23" t="s">
        <v>17</v>
      </c>
      <c r="H23" t="str">
        <f>IF(A23&lt;25,"18-24",IF(A23&lt;35,"25-34",IF(A23&lt;45,"35-44",IF(A23&lt;55,"45-54","55+"))))</f>
        <v>18-24</v>
      </c>
    </row>
    <row r="24" spans="1:8">
      <c r="A24">
        <v>23</v>
      </c>
      <c r="B24">
        <v>19</v>
      </c>
      <c r="C24">
        <v>52257.34</v>
      </c>
      <c r="D24" t="s">
        <v>7</v>
      </c>
      <c r="E24" t="s">
        <v>12</v>
      </c>
      <c r="F24" t="s">
        <v>14</v>
      </c>
      <c r="G24" t="s">
        <v>18</v>
      </c>
      <c r="H24" t="str">
        <f>IF(A24&lt;25,"18-24",IF(A24&lt;35,"25-34",IF(A24&lt;45,"35-44",IF(A24&lt;55,"45-54","55+"))))</f>
        <v>18-24</v>
      </c>
    </row>
    <row r="25" spans="1:8">
      <c r="A25">
        <v>24</v>
      </c>
      <c r="B25">
        <v>38</v>
      </c>
      <c r="C25">
        <v>48298.68</v>
      </c>
      <c r="D25" t="s">
        <v>8</v>
      </c>
      <c r="E25" t="s">
        <v>11</v>
      </c>
      <c r="F25" t="s">
        <v>15</v>
      </c>
      <c r="G25" t="s">
        <v>18</v>
      </c>
      <c r="H25" t="str">
        <f>IF(A25&lt;25,"18-24",IF(A25&lt;35,"25-34",IF(A25&lt;45,"35-44",IF(A25&lt;55,"45-54","55+"))))</f>
        <v>18-24</v>
      </c>
    </row>
    <row r="26" spans="1:8">
      <c r="A26">
        <v>25</v>
      </c>
      <c r="B26">
        <v>50</v>
      </c>
      <c r="C26">
        <v>89502.92</v>
      </c>
      <c r="D26" t="s">
        <v>7</v>
      </c>
      <c r="E26" t="s">
        <v>10</v>
      </c>
      <c r="F26" t="s">
        <v>13</v>
      </c>
      <c r="G26" t="s">
        <v>16</v>
      </c>
      <c r="H26" t="str">
        <f>IF(A26&lt;25,"18-24",IF(A26&lt;35,"25-34",IF(A26&lt;45,"35-44",IF(A26&lt;55,"45-54","55+"))))</f>
        <v>25-34</v>
      </c>
    </row>
    <row r="27" spans="1:8">
      <c r="A27">
        <v>26</v>
      </c>
      <c r="B27">
        <v>29</v>
      </c>
      <c r="C27">
        <v>34623.64</v>
      </c>
      <c r="D27" t="s">
        <v>7</v>
      </c>
      <c r="E27" t="s">
        <v>10</v>
      </c>
      <c r="F27" t="s">
        <v>13</v>
      </c>
      <c r="G27" t="s">
        <v>17</v>
      </c>
      <c r="H27" t="str">
        <f>IF(A27&lt;25,"18-24",IF(A27&lt;35,"25-34",IF(A27&lt;45,"35-44",IF(A27&lt;55,"45-54","55+"))))</f>
        <v>25-34</v>
      </c>
    </row>
    <row r="28" spans="1:8">
      <c r="A28">
        <v>27</v>
      </c>
      <c r="B28">
        <v>39</v>
      </c>
      <c r="C28">
        <v>38269.279999999999</v>
      </c>
      <c r="D28" t="s">
        <v>7</v>
      </c>
      <c r="E28" t="s">
        <v>9</v>
      </c>
      <c r="F28" t="s">
        <v>13</v>
      </c>
      <c r="G28" t="s">
        <v>18</v>
      </c>
      <c r="H28" t="str">
        <f>IF(A28&lt;25,"18-24",IF(A28&lt;35,"25-34",IF(A28&lt;45,"35-44",IF(A28&lt;55,"45-54","55+"))))</f>
        <v>25-34</v>
      </c>
    </row>
    <row r="29" spans="1:8">
      <c r="A29">
        <v>28</v>
      </c>
      <c r="B29">
        <v>61</v>
      </c>
      <c r="C29">
        <v>56359.15</v>
      </c>
      <c r="D29" t="s">
        <v>7</v>
      </c>
      <c r="E29" t="s">
        <v>11</v>
      </c>
      <c r="F29" t="s">
        <v>14</v>
      </c>
      <c r="G29" t="s">
        <v>17</v>
      </c>
      <c r="H29" t="str">
        <f>IF(A29&lt;25,"18-24",IF(A29&lt;35,"25-34",IF(A29&lt;45,"35-44",IF(A29&lt;55,"45-54","55+"))))</f>
        <v>25-34</v>
      </c>
    </row>
    <row r="30" spans="1:8">
      <c r="A30">
        <v>29</v>
      </c>
      <c r="B30">
        <v>42</v>
      </c>
      <c r="C30">
        <v>63090.58</v>
      </c>
      <c r="D30" t="s">
        <v>8</v>
      </c>
      <c r="E30" t="s">
        <v>9</v>
      </c>
      <c r="F30" t="s">
        <v>15</v>
      </c>
      <c r="G30" t="s">
        <v>17</v>
      </c>
      <c r="H30" t="str">
        <f>IF(A30&lt;25,"18-24",IF(A30&lt;35,"25-34",IF(A30&lt;45,"35-44",IF(A30&lt;55,"45-54","55+"))))</f>
        <v>25-34</v>
      </c>
    </row>
    <row r="31" spans="1:8">
      <c r="A31">
        <v>30</v>
      </c>
      <c r="B31">
        <v>44</v>
      </c>
      <c r="C31">
        <v>84308.39</v>
      </c>
      <c r="D31" t="s">
        <v>7</v>
      </c>
      <c r="E31" t="s">
        <v>10</v>
      </c>
      <c r="F31" t="s">
        <v>15</v>
      </c>
      <c r="G31" t="s">
        <v>16</v>
      </c>
      <c r="H31" t="str">
        <f>IF(A31&lt;25,"18-24",IF(A31&lt;35,"25-34",IF(A31&lt;45,"35-44",IF(A31&lt;55,"45-54","55+"))))</f>
        <v>25-34</v>
      </c>
    </row>
    <row r="32" spans="1:8">
      <c r="A32">
        <v>31</v>
      </c>
      <c r="B32">
        <v>59</v>
      </c>
      <c r="C32">
        <v>74343.81</v>
      </c>
      <c r="D32" t="s">
        <v>7</v>
      </c>
      <c r="E32" t="s">
        <v>11</v>
      </c>
      <c r="F32" t="s">
        <v>15</v>
      </c>
      <c r="G32" t="s">
        <v>18</v>
      </c>
      <c r="H32" t="str">
        <f>IF(A32&lt;25,"18-24",IF(A32&lt;35,"25-34",IF(A32&lt;45,"35-44",IF(A32&lt;55,"45-54","55+"))))</f>
        <v>25-34</v>
      </c>
    </row>
    <row r="33" spans="1:8">
      <c r="A33">
        <v>32</v>
      </c>
      <c r="B33">
        <v>45</v>
      </c>
      <c r="C33">
        <v>62356</v>
      </c>
      <c r="D33" t="s">
        <v>8</v>
      </c>
      <c r="E33" t="s">
        <v>11</v>
      </c>
      <c r="F33" t="s">
        <v>13</v>
      </c>
      <c r="G33" t="s">
        <v>16</v>
      </c>
      <c r="H33" t="str">
        <f>IF(A33&lt;25,"18-24",IF(A33&lt;35,"25-34",IF(A33&lt;45,"35-44",IF(A33&lt;55,"45-54","55+"))))</f>
        <v>25-34</v>
      </c>
    </row>
    <row r="34" spans="1:8">
      <c r="A34">
        <v>33</v>
      </c>
      <c r="B34">
        <v>33</v>
      </c>
      <c r="C34">
        <v>54395.89</v>
      </c>
      <c r="D34" t="s">
        <v>8</v>
      </c>
      <c r="E34" t="s">
        <v>9</v>
      </c>
      <c r="F34" t="s">
        <v>14</v>
      </c>
      <c r="G34" t="s">
        <v>18</v>
      </c>
      <c r="H34" t="str">
        <f>IF(A34&lt;25,"18-24",IF(A34&lt;35,"25-34",IF(A34&lt;45,"35-44",IF(A34&lt;55,"45-54","55+"))))</f>
        <v>25-34</v>
      </c>
    </row>
    <row r="35" spans="1:8">
      <c r="A35">
        <v>34</v>
      </c>
      <c r="B35">
        <v>32</v>
      </c>
      <c r="C35">
        <v>63449.46</v>
      </c>
      <c r="D35" t="s">
        <v>7</v>
      </c>
      <c r="E35" t="s">
        <v>10</v>
      </c>
      <c r="F35" t="s">
        <v>13</v>
      </c>
      <c r="G35" t="s">
        <v>18</v>
      </c>
      <c r="H35" t="str">
        <f>IF(A35&lt;25,"18-24",IF(A35&lt;35,"25-34",IF(A35&lt;45,"35-44",IF(A35&lt;55,"45-54","55+"))))</f>
        <v>25-34</v>
      </c>
    </row>
    <row r="36" spans="1:8">
      <c r="A36">
        <v>35</v>
      </c>
      <c r="B36">
        <v>64</v>
      </c>
      <c r="C36">
        <v>40845.17</v>
      </c>
      <c r="D36" t="s">
        <v>7</v>
      </c>
      <c r="E36" t="s">
        <v>11</v>
      </c>
      <c r="F36" t="s">
        <v>13</v>
      </c>
      <c r="G36" t="s">
        <v>18</v>
      </c>
      <c r="H36" t="str">
        <f>IF(A36&lt;25,"18-24",IF(A36&lt;35,"25-34",IF(A36&lt;45,"35-44",IF(A36&lt;55,"45-54","55+"))))</f>
        <v>35-44</v>
      </c>
    </row>
    <row r="37" spans="1:8">
      <c r="A37">
        <v>36</v>
      </c>
      <c r="B37">
        <v>61</v>
      </c>
      <c r="C37">
        <v>45257.51</v>
      </c>
      <c r="D37" t="s">
        <v>7</v>
      </c>
      <c r="E37" t="s">
        <v>9</v>
      </c>
      <c r="F37" t="s">
        <v>15</v>
      </c>
      <c r="G37" t="s">
        <v>18</v>
      </c>
      <c r="H37" t="str">
        <f>IF(A37&lt;25,"18-24",IF(A37&lt;35,"25-34",IF(A37&lt;45,"35-44",IF(A37&lt;55,"45-54","55+"))))</f>
        <v>35-44</v>
      </c>
    </row>
    <row r="38" spans="1:8">
      <c r="A38">
        <v>37</v>
      </c>
      <c r="B38">
        <v>20</v>
      </c>
      <c r="C38">
        <v>27763.64</v>
      </c>
      <c r="D38" t="s">
        <v>7</v>
      </c>
      <c r="E38" t="s">
        <v>10</v>
      </c>
      <c r="F38" t="s">
        <v>13</v>
      </c>
      <c r="G38" t="s">
        <v>18</v>
      </c>
      <c r="H38" t="str">
        <f>IF(A38&lt;25,"18-24",IF(A38&lt;35,"25-34",IF(A38&lt;45,"35-44",IF(A38&lt;55,"45-54","55+"))))</f>
        <v>35-44</v>
      </c>
    </row>
    <row r="39" spans="1:8">
      <c r="A39">
        <v>38</v>
      </c>
      <c r="B39">
        <v>54</v>
      </c>
      <c r="C39">
        <v>46567.29</v>
      </c>
      <c r="D39" t="s">
        <v>7</v>
      </c>
      <c r="E39" t="s">
        <v>9</v>
      </c>
      <c r="F39" t="s">
        <v>15</v>
      </c>
      <c r="G39" t="s">
        <v>17</v>
      </c>
      <c r="H39" t="str">
        <f>IF(A39&lt;25,"18-24",IF(A39&lt;35,"25-34",IF(A39&lt;45,"35-44",IF(A39&lt;55,"45-54","55+"))))</f>
        <v>35-44</v>
      </c>
    </row>
    <row r="40" spans="1:8">
      <c r="A40">
        <v>39</v>
      </c>
      <c r="B40">
        <v>24</v>
      </c>
      <c r="C40">
        <v>64439.62</v>
      </c>
      <c r="D40" t="s">
        <v>7</v>
      </c>
      <c r="E40" t="s">
        <v>12</v>
      </c>
      <c r="F40" t="s">
        <v>14</v>
      </c>
      <c r="G40" t="s">
        <v>16</v>
      </c>
      <c r="H40" t="str">
        <f>IF(A40&lt;25,"18-24",IF(A40&lt;35,"25-34",IF(A40&lt;45,"35-44",IF(A40&lt;55,"45-54","55+"))))</f>
        <v>35-44</v>
      </c>
    </row>
    <row r="41" spans="1:8">
      <c r="A41">
        <v>40</v>
      </c>
      <c r="B41">
        <v>38</v>
      </c>
      <c r="C41">
        <v>46854.61</v>
      </c>
      <c r="D41" t="s">
        <v>8</v>
      </c>
      <c r="E41" t="s">
        <v>11</v>
      </c>
      <c r="F41" t="s">
        <v>15</v>
      </c>
      <c r="G41" t="s">
        <v>17</v>
      </c>
      <c r="H41" t="str">
        <f>IF(A41&lt;25,"18-24",IF(A41&lt;35,"25-34",IF(A41&lt;45,"35-44",IF(A41&lt;55,"45-54","55+"))))</f>
        <v>35-44</v>
      </c>
    </row>
    <row r="42" spans="1:8">
      <c r="A42">
        <v>41</v>
      </c>
      <c r="B42">
        <v>26</v>
      </c>
      <c r="C42">
        <v>38389.360000000001</v>
      </c>
      <c r="D42" t="s">
        <v>7</v>
      </c>
      <c r="E42" t="s">
        <v>12</v>
      </c>
      <c r="F42" t="s">
        <v>14</v>
      </c>
      <c r="G42" t="s">
        <v>18</v>
      </c>
      <c r="H42" t="str">
        <f>IF(A42&lt;25,"18-24",IF(A42&lt;35,"25-34",IF(A42&lt;45,"35-44",IF(A42&lt;55,"45-54","55+"))))</f>
        <v>35-44</v>
      </c>
    </row>
    <row r="43" spans="1:8">
      <c r="A43">
        <v>42</v>
      </c>
      <c r="B43">
        <v>56</v>
      </c>
      <c r="C43">
        <v>44603.33</v>
      </c>
      <c r="D43" t="s">
        <v>7</v>
      </c>
      <c r="E43" t="s">
        <v>10</v>
      </c>
      <c r="F43" t="s">
        <v>15</v>
      </c>
      <c r="G43" t="s">
        <v>16</v>
      </c>
      <c r="H43" t="str">
        <f>IF(A43&lt;25,"18-24",IF(A43&lt;35,"25-34",IF(A43&lt;45,"35-44",IF(A43&lt;55,"45-54","55+"))))</f>
        <v>35-44</v>
      </c>
    </row>
    <row r="44" spans="1:8">
      <c r="A44">
        <v>43</v>
      </c>
      <c r="B44">
        <v>35</v>
      </c>
      <c r="C44">
        <v>60861.25</v>
      </c>
      <c r="D44" t="s">
        <v>8</v>
      </c>
      <c r="E44" t="s">
        <v>12</v>
      </c>
      <c r="F44" t="s">
        <v>13</v>
      </c>
      <c r="G44" t="s">
        <v>18</v>
      </c>
      <c r="H44" t="str">
        <f>IF(A44&lt;25,"18-24",IF(A44&lt;35,"25-34",IF(A44&lt;45,"35-44",IF(A44&lt;55,"45-54","55+"))))</f>
        <v>35-44</v>
      </c>
    </row>
    <row r="45" spans="1:8">
      <c r="A45">
        <v>44</v>
      </c>
      <c r="B45">
        <v>21</v>
      </c>
      <c r="C45">
        <v>46163.53</v>
      </c>
      <c r="D45" t="s">
        <v>8</v>
      </c>
      <c r="E45" t="s">
        <v>12</v>
      </c>
      <c r="F45" t="s">
        <v>13</v>
      </c>
      <c r="G45" t="s">
        <v>16</v>
      </c>
      <c r="H45" t="str">
        <f>IF(A45&lt;25,"18-24",IF(A45&lt;35,"25-34",IF(A45&lt;45,"35-44",IF(A45&lt;55,"45-54","55+"))))</f>
        <v>35-44</v>
      </c>
    </row>
    <row r="46" spans="1:8">
      <c r="A46">
        <v>45</v>
      </c>
      <c r="B46">
        <v>42</v>
      </c>
      <c r="C46">
        <v>62748.82</v>
      </c>
      <c r="D46" t="s">
        <v>8</v>
      </c>
      <c r="E46" t="s">
        <v>10</v>
      </c>
      <c r="F46" t="s">
        <v>14</v>
      </c>
      <c r="G46" t="s">
        <v>17</v>
      </c>
      <c r="H46" t="str">
        <f>IF(A46&lt;25,"18-24",IF(A46&lt;35,"25-34",IF(A46&lt;45,"35-44",IF(A46&lt;55,"45-54","55+"))))</f>
        <v>45-54</v>
      </c>
    </row>
    <row r="47" spans="1:8">
      <c r="A47">
        <v>46</v>
      </c>
      <c r="B47">
        <v>31</v>
      </c>
      <c r="C47">
        <v>30330.14</v>
      </c>
      <c r="D47" t="s">
        <v>8</v>
      </c>
      <c r="E47" t="s">
        <v>9</v>
      </c>
      <c r="F47" t="s">
        <v>14</v>
      </c>
      <c r="G47" t="s">
        <v>16</v>
      </c>
      <c r="H47" t="str">
        <f>IF(A47&lt;25,"18-24",IF(A47&lt;35,"25-34",IF(A47&lt;45,"35-44",IF(A47&lt;55,"45-54","55+"))))</f>
        <v>45-54</v>
      </c>
    </row>
    <row r="48" spans="1:8">
      <c r="A48">
        <v>47</v>
      </c>
      <c r="B48">
        <v>26</v>
      </c>
      <c r="C48">
        <v>36945.43</v>
      </c>
      <c r="D48" t="s">
        <v>7</v>
      </c>
      <c r="E48" t="s">
        <v>12</v>
      </c>
      <c r="F48" t="s">
        <v>14</v>
      </c>
      <c r="G48" t="s">
        <v>16</v>
      </c>
      <c r="H48" t="str">
        <f>IF(A48&lt;25,"18-24",IF(A48&lt;35,"25-34",IF(A48&lt;45,"35-44",IF(A48&lt;55,"45-54","55+"))))</f>
        <v>45-54</v>
      </c>
    </row>
    <row r="49" spans="1:8">
      <c r="A49">
        <v>48</v>
      </c>
      <c r="B49">
        <v>43</v>
      </c>
      <c r="C49">
        <v>42400.35</v>
      </c>
      <c r="D49" t="s">
        <v>7</v>
      </c>
      <c r="E49" t="s">
        <v>9</v>
      </c>
      <c r="F49" t="s">
        <v>15</v>
      </c>
      <c r="G49" t="s">
        <v>16</v>
      </c>
      <c r="H49" t="str">
        <f>IF(A49&lt;25,"18-24",IF(A49&lt;35,"25-34",IF(A49&lt;45,"35-44",IF(A49&lt;55,"45-54","55+"))))</f>
        <v>45-54</v>
      </c>
    </row>
    <row r="50" spans="1:8">
      <c r="A50">
        <v>49</v>
      </c>
      <c r="B50">
        <v>19</v>
      </c>
      <c r="C50">
        <v>30350.74</v>
      </c>
      <c r="D50" t="s">
        <v>7</v>
      </c>
      <c r="E50" t="s">
        <v>12</v>
      </c>
      <c r="F50" t="s">
        <v>15</v>
      </c>
      <c r="G50" t="s">
        <v>16</v>
      </c>
      <c r="H50" t="str">
        <f>IF(A50&lt;25,"18-24",IF(A50&lt;35,"25-34",IF(A50&lt;45,"35-44",IF(A50&lt;55,"45-54","55+"))))</f>
        <v>45-54</v>
      </c>
    </row>
    <row r="51" spans="1:8">
      <c r="A51">
        <v>50</v>
      </c>
      <c r="B51">
        <v>37</v>
      </c>
      <c r="C51">
        <v>94154.95</v>
      </c>
      <c r="D51" t="s">
        <v>7</v>
      </c>
      <c r="E51" t="s">
        <v>9</v>
      </c>
      <c r="F51" t="s">
        <v>14</v>
      </c>
      <c r="G51" t="s">
        <v>16</v>
      </c>
      <c r="H51" t="str">
        <f>IF(A51&lt;25,"18-24",IF(A51&lt;35,"25-34",IF(A51&lt;45,"35-44",IF(A51&lt;55,"45-54","55+"))))</f>
        <v>45-54</v>
      </c>
    </row>
    <row r="52" spans="1:8">
      <c r="A52">
        <v>51</v>
      </c>
      <c r="B52">
        <v>45</v>
      </c>
      <c r="C52">
        <v>33556.01</v>
      </c>
      <c r="D52" t="s">
        <v>7</v>
      </c>
      <c r="E52" t="s">
        <v>10</v>
      </c>
      <c r="F52" t="s">
        <v>13</v>
      </c>
      <c r="G52" t="s">
        <v>18</v>
      </c>
      <c r="H52" t="str">
        <f>IF(A52&lt;25,"18-24",IF(A52&lt;35,"25-34",IF(A52&lt;45,"35-44",IF(A52&lt;55,"45-54","55+"))))</f>
        <v>45-54</v>
      </c>
    </row>
    <row r="53" spans="1:8">
      <c r="A53">
        <v>52</v>
      </c>
      <c r="B53">
        <v>64</v>
      </c>
      <c r="C53">
        <v>63723.26</v>
      </c>
      <c r="D53" t="s">
        <v>7</v>
      </c>
      <c r="E53" t="s">
        <v>12</v>
      </c>
      <c r="F53" t="s">
        <v>15</v>
      </c>
      <c r="G53" t="s">
        <v>16</v>
      </c>
      <c r="H53" t="str">
        <f>IF(A53&lt;25,"18-24",IF(A53&lt;35,"25-34",IF(A53&lt;45,"35-44",IF(A53&lt;55,"45-54","55+"))))</f>
        <v>45-54</v>
      </c>
    </row>
    <row r="54" spans="1:8">
      <c r="A54">
        <v>53</v>
      </c>
      <c r="B54">
        <v>24</v>
      </c>
      <c r="C54">
        <v>40009.089999999997</v>
      </c>
      <c r="D54" t="s">
        <v>8</v>
      </c>
      <c r="E54" t="s">
        <v>10</v>
      </c>
      <c r="F54" t="s">
        <v>15</v>
      </c>
      <c r="G54" t="s">
        <v>16</v>
      </c>
      <c r="H54" t="str">
        <f>IF(A54&lt;25,"18-24",IF(A54&lt;35,"25-34",IF(A54&lt;45,"35-44",IF(A54&lt;55,"45-54","55+"))))</f>
        <v>45-54</v>
      </c>
    </row>
    <row r="55" spans="1:8">
      <c r="A55">
        <v>54</v>
      </c>
      <c r="B55">
        <v>61</v>
      </c>
      <c r="C55">
        <v>42293.19</v>
      </c>
      <c r="D55" t="s">
        <v>7</v>
      </c>
      <c r="E55" t="s">
        <v>12</v>
      </c>
      <c r="F55" t="s">
        <v>15</v>
      </c>
      <c r="G55" t="s">
        <v>17</v>
      </c>
      <c r="H55" t="str">
        <f>IF(A55&lt;25,"18-24",IF(A55&lt;35,"25-34",IF(A55&lt;45,"35-44",IF(A55&lt;55,"45-54","55+"))))</f>
        <v>45-54</v>
      </c>
    </row>
    <row r="56" spans="1:8">
      <c r="A56">
        <v>55</v>
      </c>
      <c r="B56">
        <v>25</v>
      </c>
      <c r="C56">
        <v>54519.839999999997</v>
      </c>
      <c r="D56" t="s">
        <v>8</v>
      </c>
      <c r="E56" t="s">
        <v>10</v>
      </c>
      <c r="F56" t="s">
        <v>14</v>
      </c>
      <c r="G56" t="s">
        <v>16</v>
      </c>
      <c r="H56" t="str">
        <f>IF(A56&lt;25,"18-24",IF(A56&lt;35,"25-34",IF(A56&lt;45,"35-44",IF(A56&lt;55,"45-54","55+"))))</f>
        <v>55+</v>
      </c>
    </row>
    <row r="57" spans="1:8">
      <c r="A57">
        <v>56</v>
      </c>
      <c r="B57">
        <v>64</v>
      </c>
      <c r="C57">
        <v>28122.25</v>
      </c>
      <c r="D57" t="s">
        <v>8</v>
      </c>
      <c r="E57" t="s">
        <v>10</v>
      </c>
      <c r="F57" t="s">
        <v>14</v>
      </c>
      <c r="G57" t="s">
        <v>17</v>
      </c>
      <c r="H57" t="str">
        <f>IF(A57&lt;25,"18-24",IF(A57&lt;35,"25-34",IF(A57&lt;45,"35-44",IF(A57&lt;55,"45-54","55+"))))</f>
        <v>55+</v>
      </c>
    </row>
    <row r="58" spans="1:8">
      <c r="A58">
        <v>57</v>
      </c>
      <c r="B58">
        <v>52</v>
      </c>
      <c r="C58">
        <v>40058.93</v>
      </c>
      <c r="D58" t="s">
        <v>7</v>
      </c>
      <c r="E58" t="s">
        <v>12</v>
      </c>
      <c r="F58" t="s">
        <v>14</v>
      </c>
      <c r="G58" t="s">
        <v>18</v>
      </c>
      <c r="H58" t="str">
        <f>IF(A58&lt;25,"18-24",IF(A58&lt;35,"25-34",IF(A58&lt;45,"35-44",IF(A58&lt;55,"45-54","55+"))))</f>
        <v>55+</v>
      </c>
    </row>
    <row r="59" spans="1:8">
      <c r="A59">
        <v>58</v>
      </c>
      <c r="B59">
        <v>31</v>
      </c>
      <c r="C59">
        <v>47802.91</v>
      </c>
      <c r="D59" t="s">
        <v>8</v>
      </c>
      <c r="E59" t="s">
        <v>12</v>
      </c>
      <c r="F59" t="s">
        <v>14</v>
      </c>
      <c r="G59" t="s">
        <v>16</v>
      </c>
      <c r="H59" t="str">
        <f>IF(A59&lt;25,"18-24",IF(A59&lt;35,"25-34",IF(A59&lt;45,"35-44",IF(A59&lt;55,"45-54","55+"))))</f>
        <v>55+</v>
      </c>
    </row>
    <row r="60" spans="1:8">
      <c r="A60">
        <v>59</v>
      </c>
      <c r="B60">
        <v>34</v>
      </c>
      <c r="C60">
        <v>37309.74</v>
      </c>
      <c r="D60" t="s">
        <v>7</v>
      </c>
      <c r="E60" t="s">
        <v>12</v>
      </c>
      <c r="F60" t="s">
        <v>14</v>
      </c>
      <c r="G60" t="s">
        <v>17</v>
      </c>
      <c r="H60" t="str">
        <f>IF(A60&lt;25,"18-24",IF(A60&lt;35,"25-34",IF(A60&lt;45,"35-44",IF(A60&lt;55,"45-54","55+"))))</f>
        <v>55+</v>
      </c>
    </row>
    <row r="61" spans="1:8">
      <c r="A61">
        <v>60</v>
      </c>
      <c r="B61">
        <v>53</v>
      </c>
      <c r="C61">
        <v>37662.660000000003</v>
      </c>
      <c r="D61" t="s">
        <v>8</v>
      </c>
      <c r="E61" t="s">
        <v>11</v>
      </c>
      <c r="F61" t="s">
        <v>13</v>
      </c>
      <c r="G61" t="s">
        <v>17</v>
      </c>
      <c r="H61" t="str">
        <f>IF(A61&lt;25,"18-24",IF(A61&lt;35,"25-34",IF(A61&lt;45,"35-44",IF(A61&lt;55,"45-54","55+"))))</f>
        <v>55+</v>
      </c>
    </row>
    <row r="62" spans="1:8">
      <c r="A62">
        <v>61</v>
      </c>
      <c r="B62">
        <v>57</v>
      </c>
      <c r="C62">
        <v>66300.91</v>
      </c>
      <c r="D62" t="s">
        <v>7</v>
      </c>
      <c r="E62" t="s">
        <v>9</v>
      </c>
      <c r="F62" t="s">
        <v>13</v>
      </c>
      <c r="G62" t="s">
        <v>18</v>
      </c>
      <c r="H62" t="str">
        <f>IF(A62&lt;25,"18-24",IF(A62&lt;35,"25-34",IF(A62&lt;45,"35-44",IF(A62&lt;55,"45-54","55+"))))</f>
        <v>55+</v>
      </c>
    </row>
    <row r="63" spans="1:8">
      <c r="A63">
        <v>62</v>
      </c>
      <c r="B63">
        <v>21</v>
      </c>
      <c r="C63">
        <v>65074.8</v>
      </c>
      <c r="D63" t="s">
        <v>8</v>
      </c>
      <c r="E63" t="s">
        <v>11</v>
      </c>
      <c r="F63" t="s">
        <v>14</v>
      </c>
      <c r="G63" t="s">
        <v>16</v>
      </c>
      <c r="H63" t="str">
        <f>IF(A63&lt;25,"18-24",IF(A63&lt;35,"25-34",IF(A63&lt;45,"35-44",IF(A63&lt;55,"45-54","55+"))))</f>
        <v>55+</v>
      </c>
    </row>
    <row r="64" spans="1:8">
      <c r="A64">
        <v>63</v>
      </c>
      <c r="B64">
        <v>19</v>
      </c>
      <c r="C64">
        <v>43373.51</v>
      </c>
      <c r="D64" t="s">
        <v>7</v>
      </c>
      <c r="E64" t="s">
        <v>11</v>
      </c>
      <c r="F64" t="s">
        <v>15</v>
      </c>
      <c r="G64" t="s">
        <v>16</v>
      </c>
      <c r="H64" t="str">
        <f>IF(A64&lt;25,"18-24",IF(A64&lt;35,"25-34",IF(A64&lt;45,"35-44",IF(A64&lt;55,"45-54","55+"))))</f>
        <v>55+</v>
      </c>
    </row>
    <row r="65" spans="1:8">
      <c r="A65">
        <v>64</v>
      </c>
      <c r="B65">
        <v>23</v>
      </c>
      <c r="C65">
        <v>48737.52</v>
      </c>
      <c r="D65" t="s">
        <v>7</v>
      </c>
      <c r="E65" t="s">
        <v>10</v>
      </c>
      <c r="F65" t="s">
        <v>14</v>
      </c>
      <c r="G65" t="s">
        <v>17</v>
      </c>
      <c r="H65" t="str">
        <f>IF(A65&lt;25,"18-24",IF(A65&lt;35,"25-34",IF(A65&lt;45,"35-44",IF(A65&lt;55,"45-54","55+"))))</f>
        <v>55+</v>
      </c>
    </row>
    <row r="66" spans="1:8">
      <c r="A66">
        <v>65</v>
      </c>
      <c r="B66">
        <v>59</v>
      </c>
      <c r="C66">
        <v>68555.240000000005</v>
      </c>
      <c r="D66" t="s">
        <v>7</v>
      </c>
      <c r="E66" t="s">
        <v>12</v>
      </c>
      <c r="F66" t="s">
        <v>13</v>
      </c>
      <c r="G66" t="s">
        <v>16</v>
      </c>
      <c r="H66" t="str">
        <f>IF(A66&lt;25,"18-24",IF(A66&lt;35,"25-34",IF(A66&lt;45,"35-44",IF(A66&lt;55,"45-54","55+"))))</f>
        <v>55+</v>
      </c>
    </row>
    <row r="67" spans="1:8">
      <c r="A67">
        <v>66</v>
      </c>
      <c r="B67">
        <v>21</v>
      </c>
      <c r="C67">
        <v>28602.82</v>
      </c>
      <c r="D67" t="s">
        <v>7</v>
      </c>
      <c r="E67" t="s">
        <v>9</v>
      </c>
      <c r="F67" t="s">
        <v>13</v>
      </c>
      <c r="G67" t="s">
        <v>17</v>
      </c>
      <c r="H67" t="str">
        <f>IF(A67&lt;25,"18-24",IF(A67&lt;35,"25-34",IF(A67&lt;45,"35-44",IF(A67&lt;55,"45-54","55+"))))</f>
        <v>55+</v>
      </c>
    </row>
    <row r="68" spans="1:8">
      <c r="A68">
        <v>67</v>
      </c>
      <c r="B68">
        <v>46</v>
      </c>
      <c r="C68">
        <v>55070.34</v>
      </c>
      <c r="D68" t="s">
        <v>7</v>
      </c>
      <c r="E68" t="s">
        <v>10</v>
      </c>
      <c r="F68" t="s">
        <v>15</v>
      </c>
      <c r="G68" t="s">
        <v>16</v>
      </c>
      <c r="H68" t="str">
        <f>IF(A68&lt;25,"18-24",IF(A68&lt;35,"25-34",IF(A68&lt;45,"35-44",IF(A68&lt;55,"45-54","55+"))))</f>
        <v>55+</v>
      </c>
    </row>
    <row r="69" spans="1:8">
      <c r="A69">
        <v>68</v>
      </c>
      <c r="B69">
        <v>35</v>
      </c>
      <c r="C69">
        <v>79618.570000000007</v>
      </c>
      <c r="D69" t="s">
        <v>8</v>
      </c>
      <c r="E69" t="s">
        <v>11</v>
      </c>
      <c r="F69" t="s">
        <v>13</v>
      </c>
      <c r="G69" t="s">
        <v>17</v>
      </c>
      <c r="H69" t="str">
        <f>IF(A69&lt;25,"18-24",IF(A69&lt;35,"25-34",IF(A69&lt;45,"35-44",IF(A69&lt;55,"45-54","55+"))))</f>
        <v>55+</v>
      </c>
    </row>
    <row r="70" spans="1:8">
      <c r="A70">
        <v>69</v>
      </c>
      <c r="B70">
        <v>43</v>
      </c>
      <c r="C70">
        <v>79475.520000000004</v>
      </c>
      <c r="D70" t="s">
        <v>8</v>
      </c>
      <c r="E70" t="s">
        <v>12</v>
      </c>
      <c r="F70" t="s">
        <v>14</v>
      </c>
      <c r="G70" t="s">
        <v>16</v>
      </c>
      <c r="H70" t="str">
        <f>IF(A70&lt;25,"18-24",IF(A70&lt;35,"25-34",IF(A70&lt;45,"35-44",IF(A70&lt;55,"45-54","55+"))))</f>
        <v>55+</v>
      </c>
    </row>
    <row r="71" spans="1:8">
      <c r="A71">
        <v>70</v>
      </c>
      <c r="B71">
        <v>61</v>
      </c>
      <c r="C71">
        <v>20901.330000000002</v>
      </c>
      <c r="D71" t="s">
        <v>8</v>
      </c>
      <c r="E71" t="s">
        <v>10</v>
      </c>
      <c r="F71" t="s">
        <v>15</v>
      </c>
      <c r="G71" t="s">
        <v>18</v>
      </c>
      <c r="H71" t="str">
        <f>IF(A71&lt;25,"18-24",IF(A71&lt;35,"25-34",IF(A71&lt;45,"35-44",IF(A71&lt;55,"45-54","55+"))))</f>
        <v>55+</v>
      </c>
    </row>
    <row r="72" spans="1:8">
      <c r="A72">
        <v>71</v>
      </c>
      <c r="B72">
        <v>51</v>
      </c>
      <c r="C72">
        <v>38560.6</v>
      </c>
      <c r="D72" t="s">
        <v>7</v>
      </c>
      <c r="E72" t="s">
        <v>12</v>
      </c>
      <c r="F72" t="s">
        <v>14</v>
      </c>
      <c r="G72" t="s">
        <v>16</v>
      </c>
      <c r="H72" t="str">
        <f>IF(A72&lt;25,"18-24",IF(A72&lt;35,"25-34",IF(A72&lt;45,"35-44",IF(A72&lt;55,"45-54","55+"))))</f>
        <v>55+</v>
      </c>
    </row>
    <row r="73" spans="1:8">
      <c r="A73">
        <v>72</v>
      </c>
      <c r="B73">
        <v>27</v>
      </c>
      <c r="C73">
        <v>52529.89</v>
      </c>
      <c r="D73" t="s">
        <v>8</v>
      </c>
      <c r="E73" t="s">
        <v>10</v>
      </c>
      <c r="F73" t="s">
        <v>14</v>
      </c>
      <c r="G73" t="s">
        <v>16</v>
      </c>
      <c r="H73" t="str">
        <f>IF(A73&lt;25,"18-24",IF(A73&lt;35,"25-34",IF(A73&lt;45,"35-44",IF(A73&lt;55,"45-54","55+"))))</f>
        <v>55+</v>
      </c>
    </row>
    <row r="74" spans="1:8">
      <c r="A74">
        <v>73</v>
      </c>
      <c r="B74">
        <v>53</v>
      </c>
      <c r="C74">
        <v>30171.85</v>
      </c>
      <c r="D74" t="s">
        <v>7</v>
      </c>
      <c r="E74" t="s">
        <v>12</v>
      </c>
      <c r="F74" t="s">
        <v>15</v>
      </c>
      <c r="G74" t="s">
        <v>18</v>
      </c>
      <c r="H74" t="str">
        <f>IF(A74&lt;25,"18-24",IF(A74&lt;35,"25-34",IF(A74&lt;45,"35-44",IF(A74&lt;55,"45-54","55+"))))</f>
        <v>55+</v>
      </c>
    </row>
    <row r="75" spans="1:8">
      <c r="A75">
        <v>74</v>
      </c>
      <c r="B75">
        <v>31</v>
      </c>
      <c r="C75">
        <v>39976.300000000003</v>
      </c>
      <c r="D75" t="s">
        <v>7</v>
      </c>
      <c r="E75" t="s">
        <v>11</v>
      </c>
      <c r="F75" t="s">
        <v>14</v>
      </c>
      <c r="G75" t="s">
        <v>16</v>
      </c>
      <c r="H75" t="str">
        <f>IF(A75&lt;25,"18-24",IF(A75&lt;35,"25-34",IF(A75&lt;45,"35-44",IF(A75&lt;55,"45-54","55+"))))</f>
        <v>55+</v>
      </c>
    </row>
    <row r="76" spans="1:8">
      <c r="A76">
        <v>75</v>
      </c>
      <c r="B76">
        <v>48</v>
      </c>
      <c r="C76">
        <v>47940.63</v>
      </c>
      <c r="D76" t="s">
        <v>8</v>
      </c>
      <c r="E76" t="s">
        <v>9</v>
      </c>
      <c r="F76" t="s">
        <v>13</v>
      </c>
      <c r="G76" t="s">
        <v>18</v>
      </c>
      <c r="H76" t="str">
        <f>IF(A76&lt;25,"18-24",IF(A76&lt;35,"25-34",IF(A76&lt;45,"35-44",IF(A76&lt;55,"45-54","55+"))))</f>
        <v>55+</v>
      </c>
    </row>
    <row r="77" spans="1:8">
      <c r="A77">
        <v>76</v>
      </c>
      <c r="B77">
        <v>32</v>
      </c>
      <c r="C77">
        <v>71019.820000000007</v>
      </c>
      <c r="D77" t="s">
        <v>8</v>
      </c>
      <c r="E77" t="s">
        <v>11</v>
      </c>
      <c r="F77" t="s">
        <v>14</v>
      </c>
      <c r="G77" t="s">
        <v>16</v>
      </c>
      <c r="H77" t="str">
        <f>IF(A77&lt;25,"18-24",IF(A77&lt;35,"25-34",IF(A77&lt;45,"35-44",IF(A77&lt;55,"45-54","55+"))))</f>
        <v>55+</v>
      </c>
    </row>
    <row r="78" spans="1:8">
      <c r="A78">
        <v>77</v>
      </c>
      <c r="B78">
        <v>25</v>
      </c>
      <c r="C78">
        <v>49318.96</v>
      </c>
      <c r="D78" t="s">
        <v>7</v>
      </c>
      <c r="E78" t="s">
        <v>9</v>
      </c>
      <c r="F78" t="s">
        <v>15</v>
      </c>
      <c r="G78" t="s">
        <v>17</v>
      </c>
      <c r="H78" t="str">
        <f>IF(A78&lt;25,"18-24",IF(A78&lt;35,"25-34",IF(A78&lt;45,"35-44",IF(A78&lt;55,"45-54","55+"))))</f>
        <v>55+</v>
      </c>
    </row>
    <row r="79" spans="1:8">
      <c r="A79">
        <v>78</v>
      </c>
      <c r="B79">
        <v>31</v>
      </c>
      <c r="C79">
        <v>53254.05</v>
      </c>
      <c r="D79" t="s">
        <v>8</v>
      </c>
      <c r="E79" t="s">
        <v>12</v>
      </c>
      <c r="F79" t="s">
        <v>15</v>
      </c>
      <c r="G79" t="s">
        <v>17</v>
      </c>
      <c r="H79" t="str">
        <f>IF(A79&lt;25,"18-24",IF(A79&lt;35,"25-34",IF(A79&lt;45,"35-44",IF(A79&lt;55,"45-54","55+"))))</f>
        <v>55+</v>
      </c>
    </row>
    <row r="80" spans="1:8">
      <c r="A80">
        <v>79</v>
      </c>
      <c r="B80">
        <v>40</v>
      </c>
      <c r="C80">
        <v>57686.36</v>
      </c>
      <c r="D80" t="s">
        <v>7</v>
      </c>
      <c r="E80" t="s">
        <v>10</v>
      </c>
      <c r="F80" t="s">
        <v>15</v>
      </c>
      <c r="G80" t="s">
        <v>16</v>
      </c>
      <c r="H80" t="str">
        <f>IF(A80&lt;25,"18-24",IF(A80&lt;35,"25-34",IF(A80&lt;45,"35-44",IF(A80&lt;55,"45-54","55+"))))</f>
        <v>55+</v>
      </c>
    </row>
    <row r="81" spans="1:8">
      <c r="A81">
        <v>80</v>
      </c>
      <c r="B81">
        <v>57</v>
      </c>
      <c r="C81">
        <v>58152.33</v>
      </c>
      <c r="D81" t="s">
        <v>7</v>
      </c>
      <c r="E81" t="s">
        <v>11</v>
      </c>
      <c r="F81" t="s">
        <v>14</v>
      </c>
      <c r="G81" t="s">
        <v>16</v>
      </c>
      <c r="H81" t="str">
        <f>IF(A81&lt;25,"18-24",IF(A81&lt;35,"25-34",IF(A81&lt;45,"35-44",IF(A81&lt;55,"45-54","55+"))))</f>
        <v>55+</v>
      </c>
    </row>
    <row r="82" spans="1:8">
      <c r="A82">
        <v>81</v>
      </c>
      <c r="B82">
        <v>38</v>
      </c>
      <c r="C82">
        <v>50421.49</v>
      </c>
      <c r="D82" t="s">
        <v>7</v>
      </c>
      <c r="E82" t="s">
        <v>9</v>
      </c>
      <c r="F82" t="s">
        <v>15</v>
      </c>
      <c r="G82" t="s">
        <v>16</v>
      </c>
      <c r="H82" t="str">
        <f>IF(A82&lt;25,"18-24",IF(A82&lt;35,"25-34",IF(A82&lt;45,"35-44",IF(A82&lt;55,"45-54","55+"))))</f>
        <v>55+</v>
      </c>
    </row>
    <row r="83" spans="1:8">
      <c r="A83">
        <v>82</v>
      </c>
      <c r="B83">
        <v>33</v>
      </c>
      <c r="C83">
        <v>32043.69</v>
      </c>
      <c r="D83" t="s">
        <v>7</v>
      </c>
      <c r="E83" t="s">
        <v>11</v>
      </c>
      <c r="F83" t="s">
        <v>15</v>
      </c>
      <c r="G83" t="s">
        <v>17</v>
      </c>
      <c r="H83" t="str">
        <f>IF(A83&lt;25,"18-24",IF(A83&lt;35,"25-34",IF(A83&lt;45,"35-44",IF(A83&lt;55,"45-54","55+"))))</f>
        <v>55+</v>
      </c>
    </row>
    <row r="84" spans="1:8">
      <c r="A84">
        <v>83</v>
      </c>
      <c r="B84">
        <v>62</v>
      </c>
      <c r="C84">
        <v>61845.09</v>
      </c>
      <c r="D84" t="s">
        <v>7</v>
      </c>
      <c r="E84" t="s">
        <v>9</v>
      </c>
      <c r="F84" t="s">
        <v>14</v>
      </c>
      <c r="G84" t="s">
        <v>16</v>
      </c>
      <c r="H84" t="str">
        <f>IF(A84&lt;25,"18-24",IF(A84&lt;35,"25-34",IF(A84&lt;45,"35-44",IF(A84&lt;55,"45-54","55+"))))</f>
        <v>55+</v>
      </c>
    </row>
    <row r="85" spans="1:8">
      <c r="A85">
        <v>84</v>
      </c>
      <c r="B85">
        <v>35</v>
      </c>
      <c r="C85">
        <v>56472.34</v>
      </c>
      <c r="D85" t="s">
        <v>8</v>
      </c>
      <c r="E85" t="s">
        <v>11</v>
      </c>
      <c r="F85" t="s">
        <v>13</v>
      </c>
      <c r="G85" t="s">
        <v>17</v>
      </c>
      <c r="H85" t="str">
        <f>IF(A85&lt;25,"18-24",IF(A85&lt;35,"25-34",IF(A85&lt;45,"35-44",IF(A85&lt;55,"45-54","55+"))))</f>
        <v>55+</v>
      </c>
    </row>
    <row r="86" spans="1:8">
      <c r="A86">
        <v>85</v>
      </c>
      <c r="B86">
        <v>64</v>
      </c>
      <c r="C86">
        <v>33548.720000000001</v>
      </c>
      <c r="D86" t="s">
        <v>8</v>
      </c>
      <c r="E86" t="s">
        <v>9</v>
      </c>
      <c r="F86" t="s">
        <v>14</v>
      </c>
      <c r="G86" t="s">
        <v>18</v>
      </c>
      <c r="H86" t="str">
        <f>IF(A86&lt;25,"18-24",IF(A86&lt;35,"25-34",IF(A86&lt;45,"35-44",IF(A86&lt;55,"45-54","55+"))))</f>
        <v>55+</v>
      </c>
    </row>
    <row r="87" spans="1:8">
      <c r="A87">
        <v>86</v>
      </c>
      <c r="B87">
        <v>41</v>
      </c>
      <c r="C87">
        <v>39765.480000000003</v>
      </c>
      <c r="D87" t="s">
        <v>7</v>
      </c>
      <c r="E87" t="s">
        <v>9</v>
      </c>
      <c r="F87" t="s">
        <v>15</v>
      </c>
      <c r="G87" t="s">
        <v>17</v>
      </c>
      <c r="H87" t="str">
        <f>IF(A87&lt;25,"18-24",IF(A87&lt;35,"25-34",IF(A87&lt;45,"35-44",IF(A87&lt;55,"45-54","55+"))))</f>
        <v>55+</v>
      </c>
    </row>
    <row r="88" spans="1:8">
      <c r="A88">
        <v>87</v>
      </c>
      <c r="B88">
        <v>43</v>
      </c>
      <c r="C88">
        <v>63312.67</v>
      </c>
      <c r="D88" t="s">
        <v>7</v>
      </c>
      <c r="E88" t="s">
        <v>12</v>
      </c>
      <c r="F88" t="s">
        <v>15</v>
      </c>
      <c r="G88" t="s">
        <v>17</v>
      </c>
      <c r="H88" t="str">
        <f>IF(A88&lt;25,"18-24",IF(A88&lt;35,"25-34",IF(A88&lt;45,"35-44",IF(A88&lt;55,"45-54","55+"))))</f>
        <v>55+</v>
      </c>
    </row>
    <row r="89" spans="1:8">
      <c r="A89">
        <v>88</v>
      </c>
      <c r="B89">
        <v>42</v>
      </c>
      <c r="C89">
        <v>59082.25</v>
      </c>
      <c r="D89" t="s">
        <v>8</v>
      </c>
      <c r="E89" t="s">
        <v>9</v>
      </c>
      <c r="F89" t="s">
        <v>14</v>
      </c>
      <c r="G89" t="s">
        <v>18</v>
      </c>
      <c r="H89" t="str">
        <f>IF(A89&lt;25,"18-24",IF(A89&lt;35,"25-34",IF(A89&lt;45,"35-44",IF(A89&lt;55,"45-54","55+"))))</f>
        <v>55+</v>
      </c>
    </row>
    <row r="90" spans="1:8">
      <c r="A90">
        <v>89</v>
      </c>
      <c r="B90">
        <v>62</v>
      </c>
      <c r="C90">
        <v>39195.53</v>
      </c>
      <c r="D90" t="s">
        <v>8</v>
      </c>
      <c r="E90" t="s">
        <v>12</v>
      </c>
      <c r="F90" t="s">
        <v>13</v>
      </c>
      <c r="G90" t="s">
        <v>17</v>
      </c>
      <c r="H90" t="str">
        <f>IF(A90&lt;25,"18-24",IF(A90&lt;35,"25-34",IF(A90&lt;45,"35-44",IF(A90&lt;55,"45-54","55+"))))</f>
        <v>55+</v>
      </c>
    </row>
    <row r="91" spans="1:8">
      <c r="A91">
        <v>90</v>
      </c>
      <c r="B91">
        <v>58</v>
      </c>
      <c r="C91">
        <v>45950.99</v>
      </c>
      <c r="D91" t="s">
        <v>7</v>
      </c>
      <c r="E91" t="s">
        <v>9</v>
      </c>
      <c r="F91" t="s">
        <v>15</v>
      </c>
      <c r="G91" t="s">
        <v>16</v>
      </c>
      <c r="H91" t="str">
        <f>IF(A91&lt;25,"18-24",IF(A91&lt;35,"25-34",IF(A91&lt;45,"35-44",IF(A91&lt;55,"45-54","55+"))))</f>
        <v>55+</v>
      </c>
    </row>
    <row r="92" spans="1:8">
      <c r="A92">
        <v>91</v>
      </c>
      <c r="B92">
        <v>46</v>
      </c>
      <c r="C92">
        <v>47848.07</v>
      </c>
      <c r="D92" t="s">
        <v>8</v>
      </c>
      <c r="E92" t="s">
        <v>10</v>
      </c>
      <c r="F92" t="s">
        <v>15</v>
      </c>
      <c r="G92" t="s">
        <v>16</v>
      </c>
      <c r="H92" t="str">
        <f>IF(A92&lt;25,"18-24",IF(A92&lt;35,"25-34",IF(A92&lt;45,"35-44",IF(A92&lt;55,"45-54","55+"))))</f>
        <v>55+</v>
      </c>
    </row>
    <row r="93" spans="1:8">
      <c r="A93">
        <v>92</v>
      </c>
      <c r="B93">
        <v>32</v>
      </c>
      <c r="C93">
        <v>59255.06</v>
      </c>
      <c r="D93" t="s">
        <v>7</v>
      </c>
      <c r="E93" t="s">
        <v>10</v>
      </c>
      <c r="F93" t="s">
        <v>15</v>
      </c>
      <c r="G93" t="s">
        <v>17</v>
      </c>
      <c r="H93" t="str">
        <f>IF(A93&lt;25,"18-24",IF(A93&lt;35,"25-34",IF(A93&lt;45,"35-44",IF(A93&lt;55,"45-54","55+"))))</f>
        <v>55+</v>
      </c>
    </row>
    <row r="94" spans="1:8">
      <c r="A94">
        <v>93</v>
      </c>
      <c r="B94">
        <v>62</v>
      </c>
      <c r="C94">
        <v>68734.11</v>
      </c>
      <c r="D94" t="s">
        <v>8</v>
      </c>
      <c r="E94" t="s">
        <v>10</v>
      </c>
      <c r="F94" t="s">
        <v>14</v>
      </c>
      <c r="G94" t="s">
        <v>16</v>
      </c>
      <c r="H94" t="str">
        <f>IF(A94&lt;25,"18-24",IF(A94&lt;35,"25-34",IF(A94&lt;45,"35-44",IF(A94&lt;55,"45-54","55+"))))</f>
        <v>55+</v>
      </c>
    </row>
    <row r="95" spans="1:8">
      <c r="A95">
        <v>94</v>
      </c>
      <c r="B95">
        <v>18</v>
      </c>
      <c r="C95">
        <v>50984.74</v>
      </c>
      <c r="D95" t="s">
        <v>7</v>
      </c>
      <c r="E95" t="s">
        <v>9</v>
      </c>
      <c r="F95" t="s">
        <v>15</v>
      </c>
      <c r="G95" t="s">
        <v>17</v>
      </c>
      <c r="H95" t="str">
        <f>IF(A95&lt;25,"18-24",IF(A95&lt;35,"25-34",IF(A95&lt;45,"35-44",IF(A95&lt;55,"45-54","55+"))))</f>
        <v>55+</v>
      </c>
    </row>
    <row r="96" spans="1:8">
      <c r="A96">
        <v>95</v>
      </c>
      <c r="B96">
        <v>42</v>
      </c>
      <c r="C96">
        <v>67538.11</v>
      </c>
      <c r="D96" t="s">
        <v>8</v>
      </c>
      <c r="E96" t="s">
        <v>12</v>
      </c>
      <c r="F96" t="s">
        <v>13</v>
      </c>
      <c r="G96" t="s">
        <v>16</v>
      </c>
      <c r="H96" t="str">
        <f>IF(A96&lt;25,"18-24",IF(A96&lt;35,"25-34",IF(A96&lt;45,"35-44",IF(A96&lt;55,"45-54","55+"))))</f>
        <v>55+</v>
      </c>
    </row>
    <row r="97" spans="1:8">
      <c r="A97">
        <v>96</v>
      </c>
      <c r="B97">
        <v>24</v>
      </c>
      <c r="C97">
        <v>63099.75</v>
      </c>
      <c r="D97" t="s">
        <v>7</v>
      </c>
      <c r="E97" t="s">
        <v>12</v>
      </c>
      <c r="F97" t="s">
        <v>15</v>
      </c>
      <c r="G97" t="s">
        <v>16</v>
      </c>
      <c r="H97" t="str">
        <f>IF(A97&lt;25,"18-24",IF(A97&lt;35,"25-34",IF(A97&lt;45,"35-44",IF(A97&lt;55,"45-54","55+"))))</f>
        <v>55+</v>
      </c>
    </row>
    <row r="98" spans="1:8">
      <c r="A98">
        <v>97</v>
      </c>
      <c r="B98">
        <v>26</v>
      </c>
      <c r="C98">
        <v>53084.75</v>
      </c>
      <c r="D98" t="s">
        <v>8</v>
      </c>
      <c r="E98" t="s">
        <v>9</v>
      </c>
      <c r="F98" t="s">
        <v>15</v>
      </c>
      <c r="G98" t="s">
        <v>17</v>
      </c>
      <c r="H98" t="str">
        <f>IF(A98&lt;25,"18-24",IF(A98&lt;35,"25-34",IF(A98&lt;45,"35-44",IF(A98&lt;55,"45-54","55+"))))</f>
        <v>55+</v>
      </c>
    </row>
    <row r="99" spans="1:8">
      <c r="A99">
        <v>98</v>
      </c>
      <c r="B99">
        <v>41</v>
      </c>
      <c r="C99">
        <v>28347.75</v>
      </c>
      <c r="D99" t="s">
        <v>8</v>
      </c>
      <c r="E99" t="s">
        <v>10</v>
      </c>
      <c r="F99" t="s">
        <v>13</v>
      </c>
      <c r="G99" t="s">
        <v>16</v>
      </c>
      <c r="H99" t="str">
        <f>IF(A99&lt;25,"18-24",IF(A99&lt;35,"25-34",IF(A99&lt;45,"35-44",IF(A99&lt;55,"45-54","55+"))))</f>
        <v>55+</v>
      </c>
    </row>
    <row r="100" spans="1:8">
      <c r="A100">
        <v>99</v>
      </c>
      <c r="B100">
        <v>18</v>
      </c>
      <c r="C100">
        <v>34584.339999999997</v>
      </c>
      <c r="D100" t="s">
        <v>7</v>
      </c>
      <c r="E100" t="s">
        <v>10</v>
      </c>
      <c r="F100" t="s">
        <v>15</v>
      </c>
      <c r="G100" t="s">
        <v>17</v>
      </c>
      <c r="H100" t="str">
        <f>IF(A100&lt;25,"18-24",IF(A100&lt;35,"25-34",IF(A100&lt;45,"35-44",IF(A100&lt;55,"45-54","55+"))))</f>
        <v>55+</v>
      </c>
    </row>
    <row r="101" spans="1:8">
      <c r="A101">
        <v>100</v>
      </c>
      <c r="B101">
        <v>61</v>
      </c>
      <c r="C101">
        <v>61118.61</v>
      </c>
      <c r="D101" t="s">
        <v>8</v>
      </c>
      <c r="E101" t="s">
        <v>12</v>
      </c>
      <c r="F101" t="s">
        <v>14</v>
      </c>
      <c r="G101" t="s">
        <v>16</v>
      </c>
      <c r="H101" t="str">
        <f>IF(A101&lt;25,"18-24",IF(A101&lt;35,"25-34",IF(A101&lt;45,"35-44",IF(A101&lt;55,"45-54","55+"))))</f>
        <v>55+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3002-6AC5-9840-8507-F33B17B0EBCE}">
  <sheetPr>
    <tabColor rgb="FF00B050"/>
  </sheetPr>
  <dimension ref="A1:AI101"/>
  <sheetViews>
    <sheetView topLeftCell="O27" workbookViewId="0">
      <selection activeCell="X39" sqref="X39"/>
    </sheetView>
  </sheetViews>
  <sheetFormatPr baseColWidth="10" defaultRowHeight="15"/>
  <cols>
    <col min="17" max="17" width="20.5" bestFit="1" customWidth="1"/>
    <col min="18" max="18" width="17.6640625" bestFit="1" customWidth="1"/>
    <col min="19" max="19" width="15.5" bestFit="1" customWidth="1"/>
    <col min="20" max="20" width="17.6640625" bestFit="1" customWidth="1"/>
    <col min="21" max="21" width="15.5" bestFit="1" customWidth="1"/>
    <col min="22" max="22" width="17.6640625" bestFit="1" customWidth="1"/>
    <col min="23" max="23" width="15.5" bestFit="1" customWidth="1"/>
    <col min="24" max="24" width="17.6640625" bestFit="1" customWidth="1"/>
    <col min="25" max="25" width="15.5" bestFit="1" customWidth="1"/>
    <col min="26" max="26" width="22" bestFit="1" customWidth="1"/>
    <col min="27" max="27" width="19.83203125" bestFit="1" customWidth="1"/>
    <col min="28" max="28" width="15.5" bestFit="1" customWidth="1"/>
    <col min="29" max="29" width="15.1640625" bestFit="1" customWidth="1"/>
    <col min="30" max="30" width="17.6640625" bestFit="1" customWidth="1"/>
    <col min="31" max="31" width="15.5" bestFit="1" customWidth="1"/>
    <col min="32" max="32" width="15.1640625" bestFit="1" customWidth="1"/>
    <col min="33" max="33" width="22" bestFit="1" customWidth="1"/>
    <col min="34" max="34" width="19.83203125" bestFit="1" customWidth="1"/>
    <col min="35" max="35" width="19.5" bestFit="1" customWidth="1"/>
  </cols>
  <sheetData>
    <row r="1" spans="1:35" ht="1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52</v>
      </c>
      <c r="I1" s="12" t="s">
        <v>53</v>
      </c>
      <c r="J1" s="12" t="s">
        <v>54</v>
      </c>
      <c r="K1" s="12" t="s">
        <v>62</v>
      </c>
      <c r="L1" s="12" t="s">
        <v>51</v>
      </c>
      <c r="M1" s="25" t="s">
        <v>65</v>
      </c>
      <c r="N1" s="26" t="s">
        <v>73</v>
      </c>
      <c r="O1" s="26" t="s">
        <v>74</v>
      </c>
    </row>
    <row r="2" spans="1:35" ht="18">
      <c r="A2" s="12">
        <v>1</v>
      </c>
      <c r="B2" s="12">
        <v>56</v>
      </c>
      <c r="C2" s="12">
        <v>59544.58</v>
      </c>
      <c r="D2" s="12" t="s">
        <v>7</v>
      </c>
      <c r="E2" s="12" t="s">
        <v>9</v>
      </c>
      <c r="F2" s="12" t="s">
        <v>13</v>
      </c>
      <c r="G2" s="12" t="s">
        <v>16</v>
      </c>
      <c r="H2" s="12">
        <v>0</v>
      </c>
      <c r="I2" s="12">
        <v>2</v>
      </c>
      <c r="J2" s="12">
        <v>0</v>
      </c>
      <c r="K2" s="12">
        <f>COUNTIF(G$2:G$101,"Often Engaged")/COUNTA(G$2:G$101)*100</f>
        <v>46</v>
      </c>
      <c r="L2" s="12" t="str">
        <f>IF(AND(B2&gt;=18, B2&lt;=30),
    IF(N2&gt;=3, "Young Professionals", "Other"),
    IF(AND(B2&gt;=60, N2&gt;=3),
        "Wealthy Seniors",
        IF(AND(B2&gt;=31, B2&lt;=59, N2&gt;=2),
            "Moderately Engaged Prof.",
            IF(AND(B2&gt;=60, N2&lt;2),
                "Low-Income Retirees", "Other"))))</f>
        <v>Moderately Engaged Prof.</v>
      </c>
      <c r="M2" t="str">
        <f>IF(B2&lt;25,"18-24",IF(B2&lt;35,"25-34",IF(B2&lt;45,"35-44",IF(B2&lt;55,"45-54","55+"))))</f>
        <v>55+</v>
      </c>
      <c r="N2" s="26">
        <f>H2 + I2</f>
        <v>2</v>
      </c>
      <c r="O2" s="26">
        <f>AVERAGEIFS(C:C, L:L, L2, N:N, "&gt;="&amp;2)</f>
        <v>53730.51263157896</v>
      </c>
      <c r="Q2" s="3" t="s">
        <v>52</v>
      </c>
      <c r="R2" t="s">
        <v>66</v>
      </c>
    </row>
    <row r="3" spans="1:35" ht="18">
      <c r="A3" s="12">
        <v>2</v>
      </c>
      <c r="B3" s="12">
        <v>46</v>
      </c>
      <c r="C3" s="12">
        <v>36399.19</v>
      </c>
      <c r="D3" s="12" t="s">
        <v>7</v>
      </c>
      <c r="E3" s="12" t="s">
        <v>10</v>
      </c>
      <c r="F3" s="12" t="s">
        <v>14</v>
      </c>
      <c r="G3" s="12" t="s">
        <v>16</v>
      </c>
      <c r="H3" s="12">
        <v>2</v>
      </c>
      <c r="I3" s="12">
        <v>2</v>
      </c>
      <c r="J3" s="12">
        <v>3</v>
      </c>
      <c r="K3" s="12">
        <f t="shared" ref="K3:K66" si="0">COUNTIF(G$2:G$101,"Often Engaged")/COUNTA(G$2:G$101)*100</f>
        <v>46</v>
      </c>
      <c r="L3" s="12" t="str">
        <f>IF(AND(B3&gt;=18, B3&lt;=30),
    IF(N3&gt;=3, "Young Professionals", "Other"),
    IF(AND(B3&gt;=60, N3&gt;=3),
        "Wealthy Seniors",
        IF(AND(B3&gt;=31, B3&lt;=59, N3&gt;=2),
            "Moderately Engaged Prof.",
            IF(AND(B3&gt;=60, N3&lt;2),
                "Low-Income Retirees", "Other"))))</f>
        <v>Moderately Engaged Prof.</v>
      </c>
      <c r="M3" t="str">
        <f t="shared" ref="M3:M66" si="1">IF(B3&lt;25,"18-24",IF(B3&lt;35,"25-34",IF(B3&lt;45,"35-44",IF(B3&lt;55,"45-54","55+"))))</f>
        <v>45-54</v>
      </c>
      <c r="N3" s="26">
        <f>H3 + I3</f>
        <v>4</v>
      </c>
      <c r="O3" s="26">
        <f t="shared" ref="O3:O66" si="2">AVERAGEIFS(C:C, L:L, L3, N:N, "&gt;="&amp;2)</f>
        <v>53730.51263157896</v>
      </c>
    </row>
    <row r="4" spans="1:35" ht="18">
      <c r="A4" s="12">
        <v>3</v>
      </c>
      <c r="B4" s="12">
        <v>32</v>
      </c>
      <c r="C4" s="12">
        <v>57140.639999999999</v>
      </c>
      <c r="D4" s="12" t="s">
        <v>7</v>
      </c>
      <c r="E4" s="12" t="s">
        <v>9</v>
      </c>
      <c r="F4" s="12" t="s">
        <v>15</v>
      </c>
      <c r="G4" s="12" t="s">
        <v>17</v>
      </c>
      <c r="H4" s="12">
        <v>1</v>
      </c>
      <c r="I4" s="12">
        <v>0</v>
      </c>
      <c r="J4" s="12">
        <v>2</v>
      </c>
      <c r="K4" s="12">
        <f t="shared" si="0"/>
        <v>46</v>
      </c>
      <c r="L4" s="12" t="str">
        <f>IF(AND(B4&gt;=18, B4&lt;=30),
    IF(N4&gt;=3, "Young Professionals", "Other"),
    IF(AND(B4&gt;=60, N4&gt;=3),
        "Wealthy Seniors",
        IF(AND(B4&gt;=31, B4&lt;=59, N4&gt;=2),
            "Moderately Engaged Prof.",
            IF(AND(B4&gt;=60, N4&lt;2),
                "Low-Income Retirees", "Other"))))</f>
        <v>Other</v>
      </c>
      <c r="M4" t="str">
        <f t="shared" si="1"/>
        <v>25-34</v>
      </c>
      <c r="N4" s="26">
        <f>H4 + I4</f>
        <v>1</v>
      </c>
      <c r="O4" s="26">
        <f t="shared" si="2"/>
        <v>42046.358571428573</v>
      </c>
      <c r="R4" s="3" t="s">
        <v>27</v>
      </c>
    </row>
    <row r="5" spans="1:35" ht="18">
      <c r="A5" s="12">
        <v>4</v>
      </c>
      <c r="B5" s="12">
        <v>60</v>
      </c>
      <c r="C5" s="12">
        <v>69554.92</v>
      </c>
      <c r="D5" s="12" t="s">
        <v>8</v>
      </c>
      <c r="E5" s="12" t="s">
        <v>10</v>
      </c>
      <c r="F5" s="12" t="s">
        <v>13</v>
      </c>
      <c r="G5" s="12" t="s">
        <v>18</v>
      </c>
      <c r="H5" s="12">
        <v>0</v>
      </c>
      <c r="I5" s="12">
        <v>1</v>
      </c>
      <c r="J5" s="12">
        <v>0</v>
      </c>
      <c r="K5" s="12">
        <f t="shared" si="0"/>
        <v>46</v>
      </c>
      <c r="L5" s="12" t="str">
        <f>IF(AND(B5&gt;=18, B5&lt;=30),
    IF(N5&gt;=3, "Young Professionals", "Other"),
    IF(AND(B5&gt;=60, N5&gt;=3),
        "Wealthy Seniors",
        IF(AND(B5&gt;=31, B5&lt;=59, N5&gt;=2),
            "Moderately Engaged Prof.",
            IF(AND(B5&gt;=60, N5&lt;2),
                "Low-Income Retirees", "Other"))))</f>
        <v>Low-Income Retirees</v>
      </c>
      <c r="M5" t="str">
        <f t="shared" si="1"/>
        <v>55+</v>
      </c>
      <c r="N5" s="26">
        <f>H5 + I5</f>
        <v>1</v>
      </c>
      <c r="O5" s="26" t="s">
        <v>75</v>
      </c>
      <c r="R5" t="s">
        <v>76</v>
      </c>
      <c r="U5" t="s">
        <v>63</v>
      </c>
      <c r="X5" t="s">
        <v>64</v>
      </c>
      <c r="AA5" t="s">
        <v>77</v>
      </c>
      <c r="AD5" t="s">
        <v>78</v>
      </c>
      <c r="AG5" t="s">
        <v>88</v>
      </c>
      <c r="AH5" t="s">
        <v>89</v>
      </c>
      <c r="AI5" t="s">
        <v>90</v>
      </c>
    </row>
    <row r="6" spans="1:35" ht="18">
      <c r="A6" s="12">
        <v>5</v>
      </c>
      <c r="B6" s="12">
        <v>25</v>
      </c>
      <c r="C6" s="12">
        <v>53173.81</v>
      </c>
      <c r="D6" s="12" t="s">
        <v>7</v>
      </c>
      <c r="E6" s="12" t="s">
        <v>9</v>
      </c>
      <c r="F6" s="12" t="s">
        <v>15</v>
      </c>
      <c r="G6" s="12" t="s">
        <v>16</v>
      </c>
      <c r="H6" s="12">
        <v>1</v>
      </c>
      <c r="I6" s="12">
        <v>2</v>
      </c>
      <c r="J6" s="12">
        <v>1</v>
      </c>
      <c r="K6" s="12">
        <f t="shared" si="0"/>
        <v>46</v>
      </c>
      <c r="L6" s="12" t="str">
        <f>IF(AND(B6&gt;=18, B6&lt;=30),
    IF(N6&gt;=3, "Young Professionals", "Other"),
    IF(AND(B6&gt;=60, N6&gt;=3),
        "Wealthy Seniors",
        IF(AND(B6&gt;=31, B6&lt;=59, N6&gt;=2),
            "Moderately Engaged Prof.",
            IF(AND(B6&gt;=60, N6&lt;2),
                "Low-Income Retirees", "Other"))))</f>
        <v>Young Professionals</v>
      </c>
      <c r="M6" t="str">
        <f t="shared" si="1"/>
        <v>25-34</v>
      </c>
      <c r="N6" s="26">
        <f>H6 + I6</f>
        <v>3</v>
      </c>
      <c r="O6" s="26">
        <f t="shared" si="2"/>
        <v>50173.108</v>
      </c>
      <c r="Q6" s="3" t="s">
        <v>20</v>
      </c>
      <c r="R6" t="s">
        <v>28</v>
      </c>
      <c r="S6" t="s">
        <v>68</v>
      </c>
      <c r="T6" t="s">
        <v>72</v>
      </c>
      <c r="U6" t="s">
        <v>28</v>
      </c>
      <c r="V6" t="s">
        <v>68</v>
      </c>
      <c r="W6" t="s">
        <v>72</v>
      </c>
      <c r="X6" t="s">
        <v>28</v>
      </c>
      <c r="Y6" t="s">
        <v>68</v>
      </c>
      <c r="Z6" t="s">
        <v>72</v>
      </c>
      <c r="AA6" t="s">
        <v>28</v>
      </c>
      <c r="AB6" t="s">
        <v>68</v>
      </c>
      <c r="AC6" t="s">
        <v>72</v>
      </c>
      <c r="AD6" t="s">
        <v>28</v>
      </c>
      <c r="AE6" t="s">
        <v>68</v>
      </c>
      <c r="AF6" t="s">
        <v>72</v>
      </c>
    </row>
    <row r="7" spans="1:35" ht="18">
      <c r="A7" s="12">
        <v>6</v>
      </c>
      <c r="B7" s="12">
        <v>38</v>
      </c>
      <c r="C7" s="12">
        <v>58955.67</v>
      </c>
      <c r="D7" s="12" t="s">
        <v>7</v>
      </c>
      <c r="E7" s="12" t="s">
        <v>11</v>
      </c>
      <c r="F7" s="12" t="s">
        <v>14</v>
      </c>
      <c r="G7" s="12" t="s">
        <v>17</v>
      </c>
      <c r="H7" s="12">
        <v>2</v>
      </c>
      <c r="I7" s="12">
        <v>0</v>
      </c>
      <c r="J7" s="12">
        <v>2</v>
      </c>
      <c r="K7" s="12">
        <f t="shared" si="0"/>
        <v>46</v>
      </c>
      <c r="L7" s="12" t="str">
        <f>IF(AND(B7&gt;=18, B7&lt;=30),
    IF(N7&gt;=3, "Young Professionals", "Other"),
    IF(AND(B7&gt;=60, N7&gt;=3),
        "Wealthy Seniors",
        IF(AND(B7&gt;=31, B7&lt;=59, N7&gt;=2),
            "Moderately Engaged Prof.",
            IF(AND(B7&gt;=60, N7&lt;2),
                "Low-Income Retirees", "Other"))))</f>
        <v>Moderately Engaged Prof.</v>
      </c>
      <c r="M7" t="str">
        <f t="shared" si="1"/>
        <v>35-44</v>
      </c>
      <c r="N7" s="26">
        <f>H7 + I7</f>
        <v>2</v>
      </c>
      <c r="O7" s="26">
        <f t="shared" si="2"/>
        <v>53730.51263157896</v>
      </c>
      <c r="Q7" s="4" t="s">
        <v>10</v>
      </c>
      <c r="R7" s="5">
        <v>1</v>
      </c>
      <c r="S7" s="5">
        <v>69554.92</v>
      </c>
      <c r="T7" s="5">
        <v>0</v>
      </c>
      <c r="U7" s="5">
        <v>9</v>
      </c>
      <c r="V7" s="5">
        <v>56279.463333333333</v>
      </c>
      <c r="W7" s="5">
        <v>1.7777777777777777</v>
      </c>
      <c r="X7" s="5">
        <v>10</v>
      </c>
      <c r="Y7" s="5">
        <v>39977.647000000012</v>
      </c>
      <c r="Z7" s="5">
        <v>1.4</v>
      </c>
      <c r="AA7" s="5">
        <v>1</v>
      </c>
      <c r="AB7" s="5">
        <v>68734.11</v>
      </c>
      <c r="AC7" s="5">
        <v>3</v>
      </c>
      <c r="AD7" s="5">
        <v>3</v>
      </c>
      <c r="AE7" s="5">
        <v>49019.606666666667</v>
      </c>
      <c r="AF7" s="5">
        <v>1</v>
      </c>
      <c r="AG7" s="5">
        <v>24</v>
      </c>
      <c r="AH7" s="5">
        <v>49651.645416666666</v>
      </c>
      <c r="AI7" s="5">
        <v>1.5</v>
      </c>
    </row>
    <row r="8" spans="1:35" ht="18">
      <c r="A8" s="12">
        <v>7</v>
      </c>
      <c r="B8" s="12">
        <v>56</v>
      </c>
      <c r="C8" s="12">
        <v>36554.97</v>
      </c>
      <c r="D8" s="12" t="s">
        <v>8</v>
      </c>
      <c r="E8" s="12" t="s">
        <v>9</v>
      </c>
      <c r="F8" s="12" t="s">
        <v>15</v>
      </c>
      <c r="G8" s="12" t="s">
        <v>18</v>
      </c>
      <c r="H8" s="12">
        <v>1</v>
      </c>
      <c r="I8" s="12">
        <v>1</v>
      </c>
      <c r="J8" s="12">
        <v>3</v>
      </c>
      <c r="K8" s="12">
        <f t="shared" si="0"/>
        <v>46</v>
      </c>
      <c r="L8" s="12" t="str">
        <f>IF(AND(B8&gt;=18, B8&lt;=30),
    IF(N8&gt;=3, "Young Professionals", "Other"),
    IF(AND(B8&gt;=60, N8&gt;=3),
        "Wealthy Seniors",
        IF(AND(B8&gt;=31, B8&lt;=59, N8&gt;=2),
            "Moderately Engaged Prof.",
            IF(AND(B8&gt;=60, N8&lt;2),
                "Low-Income Retirees", "Other"))))</f>
        <v>Moderately Engaged Prof.</v>
      </c>
      <c r="M8" t="str">
        <f t="shared" si="1"/>
        <v>55+</v>
      </c>
      <c r="N8" s="26">
        <f>H8 + I8</f>
        <v>2</v>
      </c>
      <c r="O8" s="26">
        <f t="shared" si="2"/>
        <v>53730.51263157896</v>
      </c>
      <c r="Q8" s="4" t="s">
        <v>11</v>
      </c>
      <c r="R8" s="5">
        <v>1</v>
      </c>
      <c r="S8" s="5">
        <v>40845.17</v>
      </c>
      <c r="T8" s="5">
        <v>0</v>
      </c>
      <c r="U8" s="5">
        <v>10</v>
      </c>
      <c r="V8" s="5">
        <v>52388.476000000002</v>
      </c>
      <c r="W8" s="5">
        <v>1.4</v>
      </c>
      <c r="X8" s="5">
        <v>9</v>
      </c>
      <c r="Y8" s="5">
        <v>52082.842222222214</v>
      </c>
      <c r="Z8" s="5">
        <v>1.8888888888888888</v>
      </c>
      <c r="AA8" s="5"/>
      <c r="AB8" s="5"/>
      <c r="AC8" s="5"/>
      <c r="AD8" s="5">
        <v>3</v>
      </c>
      <c r="AE8" s="5">
        <v>56496.716666666667</v>
      </c>
      <c r="AF8" s="5">
        <v>1</v>
      </c>
      <c r="AG8" s="5">
        <v>23</v>
      </c>
      <c r="AH8" s="5">
        <v>52302.854782608694</v>
      </c>
      <c r="AI8" s="5">
        <v>1.4782608695652173</v>
      </c>
    </row>
    <row r="9" spans="1:35" ht="18">
      <c r="A9" s="12">
        <v>8</v>
      </c>
      <c r="B9" s="12">
        <v>36</v>
      </c>
      <c r="C9" s="12">
        <v>48320.18</v>
      </c>
      <c r="D9" s="12" t="s">
        <v>7</v>
      </c>
      <c r="E9" s="12" t="s">
        <v>11</v>
      </c>
      <c r="F9" s="12" t="s">
        <v>15</v>
      </c>
      <c r="G9" s="12" t="s">
        <v>17</v>
      </c>
      <c r="H9" s="12">
        <v>1</v>
      </c>
      <c r="I9" s="12">
        <v>0</v>
      </c>
      <c r="J9" s="12">
        <v>2</v>
      </c>
      <c r="K9" s="12">
        <f t="shared" si="0"/>
        <v>46</v>
      </c>
      <c r="L9" s="12" t="str">
        <f>IF(AND(B9&gt;=18, B9&lt;=30),
    IF(N9&gt;=3, "Young Professionals", "Other"),
    IF(AND(B9&gt;=60, N9&gt;=3),
        "Wealthy Seniors",
        IF(AND(B9&gt;=31, B9&lt;=59, N9&gt;=2),
            "Moderately Engaged Prof.",
            IF(AND(B9&gt;=60, N9&lt;2),
                "Low-Income Retirees", "Other"))))</f>
        <v>Other</v>
      </c>
      <c r="M9" t="str">
        <f t="shared" si="1"/>
        <v>35-44</v>
      </c>
      <c r="N9" s="26">
        <f>H9 + I9</f>
        <v>1</v>
      </c>
      <c r="O9" s="26">
        <f t="shared" si="2"/>
        <v>42046.358571428573</v>
      </c>
      <c r="Q9" s="4" t="s">
        <v>12</v>
      </c>
      <c r="R9" s="5">
        <v>2</v>
      </c>
      <c r="S9" s="5">
        <v>40744.36</v>
      </c>
      <c r="T9" s="5">
        <v>1</v>
      </c>
      <c r="U9" s="5">
        <v>8</v>
      </c>
      <c r="V9" s="5">
        <v>51184.112499999996</v>
      </c>
      <c r="W9" s="5">
        <v>1.625</v>
      </c>
      <c r="X9" s="5">
        <v>6</v>
      </c>
      <c r="Y9" s="5">
        <v>55893.743333333325</v>
      </c>
      <c r="Z9" s="5">
        <v>1.3333333333333333</v>
      </c>
      <c r="AA9" s="5">
        <v>2</v>
      </c>
      <c r="AB9" s="5">
        <v>62420.934999999998</v>
      </c>
      <c r="AC9" s="5">
        <v>3</v>
      </c>
      <c r="AD9" s="5">
        <v>7</v>
      </c>
      <c r="AE9" s="5">
        <v>49961.760000000002</v>
      </c>
      <c r="AF9" s="5">
        <v>1</v>
      </c>
      <c r="AG9" s="5">
        <v>25</v>
      </c>
      <c r="AH9" s="5">
        <v>52035.930800000009</v>
      </c>
      <c r="AI9" s="5">
        <v>1.44</v>
      </c>
    </row>
    <row r="10" spans="1:35" ht="18">
      <c r="A10" s="12">
        <v>9</v>
      </c>
      <c r="B10" s="12">
        <v>40</v>
      </c>
      <c r="C10" s="12">
        <v>72034.12</v>
      </c>
      <c r="D10" s="12" t="s">
        <v>8</v>
      </c>
      <c r="E10" s="12" t="s">
        <v>9</v>
      </c>
      <c r="F10" s="12" t="s">
        <v>15</v>
      </c>
      <c r="G10" s="12" t="s">
        <v>16</v>
      </c>
      <c r="H10" s="12">
        <v>1</v>
      </c>
      <c r="I10" s="12">
        <v>2</v>
      </c>
      <c r="J10" s="12">
        <v>1</v>
      </c>
      <c r="K10" s="12">
        <f t="shared" si="0"/>
        <v>46</v>
      </c>
      <c r="L10" s="12" t="str">
        <f>IF(AND(B10&gt;=18, B10&lt;=30),
    IF(N10&gt;=3, "Young Professionals", "Other"),
    IF(AND(B10&gt;=60, N10&gt;=3),
        "Wealthy Seniors",
        IF(AND(B10&gt;=31, B10&lt;=59, N10&gt;=2),
            "Moderately Engaged Prof.",
            IF(AND(B10&gt;=60, N10&lt;2),
                "Low-Income Retirees", "Other"))))</f>
        <v>Moderately Engaged Prof.</v>
      </c>
      <c r="M10" t="str">
        <f t="shared" si="1"/>
        <v>35-44</v>
      </c>
      <c r="N10" s="26">
        <f>H10 + I10</f>
        <v>3</v>
      </c>
      <c r="O10" s="26">
        <f t="shared" si="2"/>
        <v>53730.51263157896</v>
      </c>
      <c r="Q10" s="4" t="s">
        <v>9</v>
      </c>
      <c r="R10" s="5"/>
      <c r="S10" s="5"/>
      <c r="T10" s="5"/>
      <c r="U10" s="5">
        <v>11</v>
      </c>
      <c r="V10" s="5">
        <v>54716.968181818171</v>
      </c>
      <c r="W10" s="5">
        <v>1.4545454545454546</v>
      </c>
      <c r="X10" s="5">
        <v>12</v>
      </c>
      <c r="Y10" s="5">
        <v>48860.299166666671</v>
      </c>
      <c r="Z10" s="5">
        <v>1.5833333333333333</v>
      </c>
      <c r="AA10" s="5">
        <v>3</v>
      </c>
      <c r="AB10" s="5">
        <v>44245.119999999995</v>
      </c>
      <c r="AC10" s="5">
        <v>3</v>
      </c>
      <c r="AD10" s="5">
        <v>2</v>
      </c>
      <c r="AE10" s="5">
        <v>43157.664999999994</v>
      </c>
      <c r="AF10" s="5">
        <v>1</v>
      </c>
      <c r="AG10" s="5">
        <v>28</v>
      </c>
      <c r="AH10" s="5">
        <v>50259.318928571432</v>
      </c>
      <c r="AI10" s="5">
        <v>1.6428571428571428</v>
      </c>
    </row>
    <row r="11" spans="1:35" ht="18">
      <c r="A11" s="12">
        <v>10</v>
      </c>
      <c r="B11" s="12">
        <v>28</v>
      </c>
      <c r="C11" s="12">
        <v>33141.519999999997</v>
      </c>
      <c r="D11" s="12" t="s">
        <v>7</v>
      </c>
      <c r="E11" s="12" t="s">
        <v>9</v>
      </c>
      <c r="F11" s="12" t="s">
        <v>15</v>
      </c>
      <c r="G11" s="12" t="s">
        <v>16</v>
      </c>
      <c r="H11" s="12">
        <v>1</v>
      </c>
      <c r="I11" s="12">
        <v>2</v>
      </c>
      <c r="J11" s="12">
        <v>1</v>
      </c>
      <c r="K11" s="12">
        <f t="shared" si="0"/>
        <v>46</v>
      </c>
      <c r="L11" s="12" t="str">
        <f>IF(AND(B11&gt;=18, B11&lt;=30),
    IF(N11&gt;=3, "Young Professionals", "Other"),
    IF(AND(B11&gt;=60, N11&gt;=3),
        "Wealthy Seniors",
        IF(AND(B11&gt;=31, B11&lt;=59, N11&gt;=2),
            "Moderately Engaged Prof.",
            IF(AND(B11&gt;=60, N11&lt;2),
                "Low-Income Retirees", "Other"))))</f>
        <v>Young Professionals</v>
      </c>
      <c r="M11" t="str">
        <f t="shared" si="1"/>
        <v>25-34</v>
      </c>
      <c r="N11" s="26">
        <f>H11 + I11</f>
        <v>3</v>
      </c>
      <c r="O11" s="26">
        <f t="shared" si="2"/>
        <v>50173.108</v>
      </c>
      <c r="Q11" s="4" t="s">
        <v>26</v>
      </c>
      <c r="R11" s="5">
        <v>4</v>
      </c>
      <c r="S11" s="5">
        <v>47972.202499999999</v>
      </c>
      <c r="T11" s="5">
        <v>0.5</v>
      </c>
      <c r="U11" s="5">
        <v>38</v>
      </c>
      <c r="V11" s="5">
        <v>53730.512631578953</v>
      </c>
      <c r="W11" s="5">
        <v>1.5526315789473684</v>
      </c>
      <c r="X11" s="5">
        <v>37</v>
      </c>
      <c r="Y11" s="5">
        <v>48384.002702702695</v>
      </c>
      <c r="Z11" s="5">
        <v>1.5675675675675675</v>
      </c>
      <c r="AA11" s="5">
        <v>6</v>
      </c>
      <c r="AB11" s="5">
        <v>54385.223333333328</v>
      </c>
      <c r="AC11" s="5">
        <v>3</v>
      </c>
      <c r="AD11" s="5">
        <v>15</v>
      </c>
      <c r="AE11" s="5">
        <v>50173.108000000007</v>
      </c>
      <c r="AF11" s="5">
        <v>1</v>
      </c>
      <c r="AG11" s="5">
        <v>100</v>
      </c>
      <c r="AH11" s="5">
        <v>51027.643499999998</v>
      </c>
      <c r="AI11" s="5">
        <v>1.52</v>
      </c>
    </row>
    <row r="12" spans="1:35" ht="18">
      <c r="A12" s="12">
        <v>11</v>
      </c>
      <c r="B12" s="12">
        <v>28</v>
      </c>
      <c r="C12" s="12">
        <v>64250.080000000002</v>
      </c>
      <c r="D12" s="12" t="s">
        <v>7</v>
      </c>
      <c r="E12" s="12" t="s">
        <v>12</v>
      </c>
      <c r="F12" s="12" t="s">
        <v>14</v>
      </c>
      <c r="G12" s="12" t="s">
        <v>16</v>
      </c>
      <c r="H12" s="12">
        <v>2</v>
      </c>
      <c r="I12" s="12">
        <v>2</v>
      </c>
      <c r="J12" s="12">
        <v>1</v>
      </c>
      <c r="K12" s="12">
        <f t="shared" si="0"/>
        <v>46</v>
      </c>
      <c r="L12" s="12" t="str">
        <f>IF(AND(B12&gt;=18, B12&lt;=30),
    IF(N12&gt;=3, "Young Professionals", "Other"),
    IF(AND(B12&gt;=60, N12&gt;=3),
        "Wealthy Seniors",
        IF(AND(B12&gt;=31, B12&lt;=59, N12&gt;=2),
            "Moderately Engaged Prof.",
            IF(AND(B12&gt;=60, N12&lt;2),
                "Low-Income Retirees", "Other"))))</f>
        <v>Young Professionals</v>
      </c>
      <c r="M12" t="str">
        <f t="shared" si="1"/>
        <v>25-34</v>
      </c>
      <c r="N12" s="26">
        <f>H12 + I12</f>
        <v>4</v>
      </c>
      <c r="O12" s="26">
        <f t="shared" si="2"/>
        <v>50173.108</v>
      </c>
    </row>
    <row r="13" spans="1:35" ht="18">
      <c r="A13" s="12">
        <v>12</v>
      </c>
      <c r="B13" s="12">
        <v>41</v>
      </c>
      <c r="C13" s="12">
        <v>75897.75</v>
      </c>
      <c r="D13" s="12" t="s">
        <v>7</v>
      </c>
      <c r="E13" s="12" t="s">
        <v>11</v>
      </c>
      <c r="F13" s="12" t="s">
        <v>15</v>
      </c>
      <c r="G13" s="12" t="s">
        <v>17</v>
      </c>
      <c r="H13" s="12">
        <v>1</v>
      </c>
      <c r="I13" s="12">
        <v>0</v>
      </c>
      <c r="J13" s="12">
        <v>2</v>
      </c>
      <c r="K13" s="12">
        <f t="shared" si="0"/>
        <v>46</v>
      </c>
      <c r="L13" s="12" t="str">
        <f>IF(AND(B13&gt;=18, B13&lt;=30),
    IF(N13&gt;=3, "Young Professionals", "Other"),
    IF(AND(B13&gt;=60, N13&gt;=3),
        "Wealthy Seniors",
        IF(AND(B13&gt;=31, B13&lt;=59, N13&gt;=2),
            "Moderately Engaged Prof.",
            IF(AND(B13&gt;=60, N13&lt;2),
                "Low-Income Retirees", "Other"))))</f>
        <v>Other</v>
      </c>
      <c r="M13" t="str">
        <f t="shared" si="1"/>
        <v>35-44</v>
      </c>
      <c r="N13" s="26">
        <f>H13 + I13</f>
        <v>1</v>
      </c>
      <c r="O13" s="26">
        <f t="shared" si="2"/>
        <v>42046.358571428573</v>
      </c>
    </row>
    <row r="14" spans="1:35" ht="18">
      <c r="A14" s="12">
        <v>13</v>
      </c>
      <c r="B14" s="12">
        <v>53</v>
      </c>
      <c r="C14" s="12">
        <v>56868.28</v>
      </c>
      <c r="D14" s="12" t="s">
        <v>8</v>
      </c>
      <c r="E14" s="12" t="s">
        <v>12</v>
      </c>
      <c r="F14" s="12" t="s">
        <v>15</v>
      </c>
      <c r="G14" s="12" t="s">
        <v>17</v>
      </c>
      <c r="H14" s="12">
        <v>1</v>
      </c>
      <c r="I14" s="12">
        <v>0</v>
      </c>
      <c r="J14" s="12">
        <v>2</v>
      </c>
      <c r="K14" s="12">
        <f t="shared" si="0"/>
        <v>46</v>
      </c>
      <c r="L14" s="12" t="str">
        <f>IF(AND(B14&gt;=18, B14&lt;=30),
    IF(N14&gt;=3, "Young Professionals", "Other"),
    IF(AND(B14&gt;=60, N14&gt;=3),
        "Wealthy Seniors",
        IF(AND(B14&gt;=31, B14&lt;=59, N14&gt;=2),
            "Moderately Engaged Prof.",
            IF(AND(B14&gt;=60, N14&lt;2),
                "Low-Income Retirees", "Other"))))</f>
        <v>Other</v>
      </c>
      <c r="M14" t="str">
        <f t="shared" si="1"/>
        <v>45-54</v>
      </c>
      <c r="N14" s="26">
        <f>H14 + I14</f>
        <v>1</v>
      </c>
      <c r="O14" s="26">
        <f t="shared" si="2"/>
        <v>42046.358571428573</v>
      </c>
      <c r="Q14" s="3" t="s">
        <v>20</v>
      </c>
      <c r="R14" t="s">
        <v>28</v>
      </c>
    </row>
    <row r="15" spans="1:35" ht="18">
      <c r="A15" s="12">
        <v>14</v>
      </c>
      <c r="B15" s="12">
        <v>57</v>
      </c>
      <c r="C15" s="12">
        <v>24735.69</v>
      </c>
      <c r="D15" s="12" t="s">
        <v>8</v>
      </c>
      <c r="E15" s="12" t="s">
        <v>11</v>
      </c>
      <c r="F15" s="12" t="s">
        <v>13</v>
      </c>
      <c r="G15" s="12" t="s">
        <v>16</v>
      </c>
      <c r="H15" s="12">
        <v>0</v>
      </c>
      <c r="I15" s="12">
        <v>2</v>
      </c>
      <c r="J15" s="12">
        <v>0</v>
      </c>
      <c r="K15" s="12">
        <f t="shared" si="0"/>
        <v>46</v>
      </c>
      <c r="L15" s="12" t="str">
        <f>IF(AND(B15&gt;=18, B15&lt;=30),
    IF(N15&gt;=3, "Young Professionals", "Other"),
    IF(AND(B15&gt;=60, N15&gt;=3),
        "Wealthy Seniors",
        IF(AND(B15&gt;=31, B15&lt;=59, N15&gt;=2),
            "Moderately Engaged Prof.",
            IF(AND(B15&gt;=60, N15&lt;2),
                "Low-Income Retirees", "Other"))))</f>
        <v>Moderately Engaged Prof.</v>
      </c>
      <c r="M15" t="str">
        <f t="shared" si="1"/>
        <v>55+</v>
      </c>
      <c r="N15" s="26">
        <f>H15 + I15</f>
        <v>2</v>
      </c>
      <c r="O15" s="26">
        <f t="shared" si="2"/>
        <v>53730.51263157896</v>
      </c>
      <c r="Q15" s="4" t="s">
        <v>76</v>
      </c>
      <c r="R15" s="5">
        <v>4</v>
      </c>
    </row>
    <row r="16" spans="1:35" ht="18">
      <c r="A16" s="12">
        <v>15</v>
      </c>
      <c r="B16" s="12">
        <v>41</v>
      </c>
      <c r="C16" s="12">
        <v>54902.68</v>
      </c>
      <c r="D16" s="12" t="s">
        <v>7</v>
      </c>
      <c r="E16" s="12" t="s">
        <v>12</v>
      </c>
      <c r="F16" s="12" t="s">
        <v>15</v>
      </c>
      <c r="G16" s="12" t="s">
        <v>17</v>
      </c>
      <c r="H16" s="12">
        <v>1</v>
      </c>
      <c r="I16" s="12">
        <v>0</v>
      </c>
      <c r="J16" s="12">
        <v>2</v>
      </c>
      <c r="K16" s="12">
        <f t="shared" si="0"/>
        <v>46</v>
      </c>
      <c r="L16" s="12" t="str">
        <f>IF(AND(B16&gt;=18, B16&lt;=30),
    IF(N16&gt;=3, "Young Professionals", "Other"),
    IF(AND(B16&gt;=60, N16&gt;=3),
        "Wealthy Seniors",
        IF(AND(B16&gt;=31, B16&lt;=59, N16&gt;=2),
            "Moderately Engaged Prof.",
            IF(AND(B16&gt;=60, N16&lt;2),
                "Low-Income Retirees", "Other"))))</f>
        <v>Other</v>
      </c>
      <c r="M16" t="str">
        <f t="shared" si="1"/>
        <v>35-44</v>
      </c>
      <c r="N16" s="26">
        <f>H16 + I16</f>
        <v>1</v>
      </c>
      <c r="O16" s="26">
        <f t="shared" si="2"/>
        <v>42046.358571428573</v>
      </c>
      <c r="Q16" s="4" t="s">
        <v>63</v>
      </c>
      <c r="R16" s="5">
        <v>38</v>
      </c>
    </row>
    <row r="17" spans="1:27" ht="18">
      <c r="A17" s="12">
        <v>16</v>
      </c>
      <c r="B17" s="12">
        <v>20</v>
      </c>
      <c r="C17" s="12">
        <v>48783.22</v>
      </c>
      <c r="D17" s="12" t="s">
        <v>8</v>
      </c>
      <c r="E17" s="12" t="s">
        <v>10</v>
      </c>
      <c r="F17" s="12" t="s">
        <v>13</v>
      </c>
      <c r="G17" s="12" t="s">
        <v>16</v>
      </c>
      <c r="H17" s="12">
        <v>0</v>
      </c>
      <c r="I17" s="12">
        <v>2</v>
      </c>
      <c r="J17" s="12">
        <v>0</v>
      </c>
      <c r="K17" s="12">
        <f t="shared" si="0"/>
        <v>46</v>
      </c>
      <c r="L17" s="12" t="str">
        <f>IF(AND(B17&gt;=18, B17&lt;=30),
    IF(N17&gt;=3, "Young Professionals", "Other"),
    IF(AND(B17&gt;=60, N17&gt;=3),
        "Wealthy Seniors",
        IF(AND(B17&gt;=31, B17&lt;=59, N17&gt;=2),
            "Moderately Engaged Prof.",
            IF(AND(B17&gt;=60, N17&lt;2),
                "Low-Income Retirees", "Other"))))</f>
        <v>Other</v>
      </c>
      <c r="M17" t="str">
        <f t="shared" si="1"/>
        <v>18-24</v>
      </c>
      <c r="N17" s="26">
        <f>H17 + I17</f>
        <v>2</v>
      </c>
      <c r="O17" s="26">
        <f t="shared" si="2"/>
        <v>42046.358571428573</v>
      </c>
      <c r="Q17" s="4" t="s">
        <v>64</v>
      </c>
      <c r="R17" s="5">
        <v>37</v>
      </c>
    </row>
    <row r="18" spans="1:27" ht="18">
      <c r="A18" s="12">
        <v>17</v>
      </c>
      <c r="B18" s="12">
        <v>39</v>
      </c>
      <c r="C18" s="12">
        <v>57016.92</v>
      </c>
      <c r="D18" s="12" t="s">
        <v>8</v>
      </c>
      <c r="E18" s="12" t="s">
        <v>9</v>
      </c>
      <c r="F18" s="12" t="s">
        <v>14</v>
      </c>
      <c r="G18" s="12" t="s">
        <v>16</v>
      </c>
      <c r="H18" s="12">
        <v>2</v>
      </c>
      <c r="I18" s="12">
        <v>2</v>
      </c>
      <c r="J18" s="12">
        <v>1</v>
      </c>
      <c r="K18" s="12">
        <f t="shared" si="0"/>
        <v>46</v>
      </c>
      <c r="L18" s="12" t="str">
        <f>IF(AND(B18&gt;=18, B18&lt;=30),
    IF(N18&gt;=3, "Young Professionals", "Other"),
    IF(AND(B18&gt;=60, N18&gt;=3),
        "Wealthy Seniors",
        IF(AND(B18&gt;=31, B18&lt;=59, N18&gt;=2),
            "Moderately Engaged Prof.",
            IF(AND(B18&gt;=60, N18&lt;2),
                "Low-Income Retirees", "Other"))))</f>
        <v>Moderately Engaged Prof.</v>
      </c>
      <c r="M18" t="str">
        <f t="shared" si="1"/>
        <v>35-44</v>
      </c>
      <c r="N18" s="26">
        <f>H18 + I18</f>
        <v>4</v>
      </c>
      <c r="O18" s="26">
        <f t="shared" si="2"/>
        <v>53730.51263157896</v>
      </c>
      <c r="Q18" s="4" t="s">
        <v>77</v>
      </c>
      <c r="R18" s="5">
        <v>6</v>
      </c>
    </row>
    <row r="19" spans="1:27" ht="18">
      <c r="A19" s="12">
        <v>18</v>
      </c>
      <c r="B19" s="12">
        <v>19</v>
      </c>
      <c r="C19" s="12">
        <v>61041.84</v>
      </c>
      <c r="D19" s="12" t="s">
        <v>8</v>
      </c>
      <c r="E19" s="12" t="s">
        <v>11</v>
      </c>
      <c r="F19" s="12" t="s">
        <v>14</v>
      </c>
      <c r="G19" s="12" t="s">
        <v>18</v>
      </c>
      <c r="H19" s="12">
        <v>2</v>
      </c>
      <c r="I19" s="12">
        <v>1</v>
      </c>
      <c r="J19" s="12">
        <v>1</v>
      </c>
      <c r="K19" s="12">
        <f t="shared" si="0"/>
        <v>46</v>
      </c>
      <c r="L19" s="12" t="str">
        <f>IF(AND(B19&gt;=18, B19&lt;=30),
    IF(N19&gt;=3, "Young Professionals", "Other"),
    IF(AND(B19&gt;=60, N19&gt;=3),
        "Wealthy Seniors",
        IF(AND(B19&gt;=31, B19&lt;=59, N19&gt;=2),
            "Moderately Engaged Prof.",
            IF(AND(B19&gt;=60, N19&lt;2),
                "Low-Income Retirees", "Other"))))</f>
        <v>Young Professionals</v>
      </c>
      <c r="M19" t="str">
        <f t="shared" si="1"/>
        <v>18-24</v>
      </c>
      <c r="N19" s="26">
        <f>H19 + I19</f>
        <v>3</v>
      </c>
      <c r="O19" s="26">
        <f t="shared" si="2"/>
        <v>50173.108</v>
      </c>
      <c r="Q19" s="4" t="s">
        <v>78</v>
      </c>
      <c r="R19" s="5">
        <v>15</v>
      </c>
    </row>
    <row r="20" spans="1:27" ht="18">
      <c r="A20" s="12">
        <v>19</v>
      </c>
      <c r="B20" s="12">
        <v>41</v>
      </c>
      <c r="C20" s="12">
        <v>38304.47</v>
      </c>
      <c r="D20" s="12" t="s">
        <v>8</v>
      </c>
      <c r="E20" s="12" t="s">
        <v>11</v>
      </c>
      <c r="F20" s="12" t="s">
        <v>14</v>
      </c>
      <c r="G20" s="12" t="s">
        <v>17</v>
      </c>
      <c r="H20" s="12">
        <v>2</v>
      </c>
      <c r="I20" s="12">
        <v>0</v>
      </c>
      <c r="J20" s="12">
        <v>2</v>
      </c>
      <c r="K20" s="12">
        <f t="shared" si="0"/>
        <v>46</v>
      </c>
      <c r="L20" s="12" t="str">
        <f>IF(AND(B20&gt;=18, B20&lt;=30),
    IF(N20&gt;=3, "Young Professionals", "Other"),
    IF(AND(B20&gt;=60, N20&gt;=3),
        "Wealthy Seniors",
        IF(AND(B20&gt;=31, B20&lt;=59, N20&gt;=2),
            "Moderately Engaged Prof.",
            IF(AND(B20&gt;=60, N20&lt;2),
                "Low-Income Retirees", "Other"))))</f>
        <v>Moderately Engaged Prof.</v>
      </c>
      <c r="M20" t="str">
        <f t="shared" si="1"/>
        <v>35-44</v>
      </c>
      <c r="N20" s="26">
        <f>H20 + I20</f>
        <v>2</v>
      </c>
      <c r="O20" s="26">
        <f t="shared" si="2"/>
        <v>53730.51263157896</v>
      </c>
      <c r="Q20" s="4" t="s">
        <v>26</v>
      </c>
      <c r="R20" s="5">
        <v>100</v>
      </c>
    </row>
    <row r="21" spans="1:27" ht="18">
      <c r="A21" s="12">
        <v>20</v>
      </c>
      <c r="B21" s="12">
        <v>61</v>
      </c>
      <c r="C21" s="12">
        <v>37341.550000000003</v>
      </c>
      <c r="D21" s="12" t="s">
        <v>8</v>
      </c>
      <c r="E21" s="12" t="s">
        <v>9</v>
      </c>
      <c r="F21" s="12" t="s">
        <v>14</v>
      </c>
      <c r="G21" s="12" t="s">
        <v>16</v>
      </c>
      <c r="H21" s="12">
        <v>2</v>
      </c>
      <c r="I21" s="12">
        <v>2</v>
      </c>
      <c r="J21" s="12">
        <v>3</v>
      </c>
      <c r="K21" s="12">
        <f t="shared" si="0"/>
        <v>46</v>
      </c>
      <c r="L21" s="12" t="str">
        <f>IF(AND(B21&gt;=18, B21&lt;=30),
    IF(N21&gt;=3, "Young Professionals", "Other"),
    IF(AND(B21&gt;=60, N21&gt;=3),
        "Wealthy Seniors",
        IF(AND(B21&gt;=31, B21&lt;=59, N21&gt;=2),
            "Moderately Engaged Prof.",
            IF(AND(B21&gt;=60, N21&lt;2),
                "Low-Income Retirees", "Other"))))</f>
        <v>Wealthy Seniors</v>
      </c>
      <c r="M21" t="str">
        <f t="shared" si="1"/>
        <v>55+</v>
      </c>
      <c r="N21" s="26">
        <f>H21 + I21</f>
        <v>4</v>
      </c>
      <c r="O21" s="26">
        <f t="shared" si="2"/>
        <v>54385.223333333328</v>
      </c>
    </row>
    <row r="22" spans="1:27" ht="18">
      <c r="A22" s="12">
        <v>21</v>
      </c>
      <c r="B22" s="12">
        <v>47</v>
      </c>
      <c r="C22" s="12">
        <v>47741.99</v>
      </c>
      <c r="D22" s="12" t="s">
        <v>8</v>
      </c>
      <c r="E22" s="12" t="s">
        <v>11</v>
      </c>
      <c r="F22" s="12" t="s">
        <v>13</v>
      </c>
      <c r="G22" s="12" t="s">
        <v>16</v>
      </c>
      <c r="H22" s="12">
        <v>0</v>
      </c>
      <c r="I22" s="12">
        <v>2</v>
      </c>
      <c r="J22" s="12">
        <v>0</v>
      </c>
      <c r="K22" s="12">
        <f t="shared" si="0"/>
        <v>46</v>
      </c>
      <c r="L22" s="12" t="str">
        <f>IF(AND(B22&gt;=18, B22&lt;=30),
    IF(N22&gt;=3, "Young Professionals", "Other"),
    IF(AND(B22&gt;=60, N22&gt;=3),
        "Wealthy Seniors",
        IF(AND(B22&gt;=31, B22&lt;=59, N22&gt;=2),
            "Moderately Engaged Prof.",
            IF(AND(B22&gt;=60, N22&lt;2),
                "Low-Income Retirees", "Other"))))</f>
        <v>Moderately Engaged Prof.</v>
      </c>
      <c r="M22" t="str">
        <f t="shared" si="1"/>
        <v>45-54</v>
      </c>
      <c r="N22" s="26">
        <f>H22 + I22</f>
        <v>2</v>
      </c>
      <c r="O22" s="26">
        <f t="shared" si="2"/>
        <v>53730.51263157896</v>
      </c>
      <c r="R22" s="3" t="s">
        <v>27</v>
      </c>
    </row>
    <row r="23" spans="1:27" ht="18">
      <c r="A23" s="12">
        <v>22</v>
      </c>
      <c r="B23" s="12">
        <v>55</v>
      </c>
      <c r="C23" s="12">
        <v>35516.629999999997</v>
      </c>
      <c r="D23" s="12" t="s">
        <v>7</v>
      </c>
      <c r="E23" s="12" t="s">
        <v>11</v>
      </c>
      <c r="F23" s="12" t="s">
        <v>15</v>
      </c>
      <c r="G23" s="12" t="s">
        <v>17</v>
      </c>
      <c r="H23" s="12">
        <v>1</v>
      </c>
      <c r="I23" s="12">
        <v>0</v>
      </c>
      <c r="J23" s="12">
        <v>2</v>
      </c>
      <c r="K23" s="12">
        <f t="shared" si="0"/>
        <v>46</v>
      </c>
      <c r="L23" s="12" t="str">
        <f>IF(AND(B23&gt;=18, B23&lt;=30),
    IF(N23&gt;=3, "Young Professionals", "Other"),
    IF(AND(B23&gt;=60, N23&gt;=3),
        "Wealthy Seniors",
        IF(AND(B23&gt;=31, B23&lt;=59, N23&gt;=2),
            "Moderately Engaged Prof.",
            IF(AND(B23&gt;=60, N23&lt;2),
                "Low-Income Retirees", "Other"))))</f>
        <v>Other</v>
      </c>
      <c r="M23" t="str">
        <f t="shared" si="1"/>
        <v>55+</v>
      </c>
      <c r="N23" s="26">
        <f>H23 + I23</f>
        <v>1</v>
      </c>
      <c r="O23" s="26">
        <f t="shared" si="2"/>
        <v>42046.358571428573</v>
      </c>
      <c r="R23">
        <v>0</v>
      </c>
      <c r="T23">
        <v>1</v>
      </c>
      <c r="V23">
        <v>2</v>
      </c>
      <c r="X23">
        <v>3</v>
      </c>
      <c r="Z23" t="s">
        <v>88</v>
      </c>
      <c r="AA23" t="s">
        <v>89</v>
      </c>
    </row>
    <row r="24" spans="1:27" ht="18">
      <c r="A24" s="12">
        <v>23</v>
      </c>
      <c r="B24" s="12">
        <v>19</v>
      </c>
      <c r="C24" s="12">
        <v>52257.34</v>
      </c>
      <c r="D24" s="12" t="s">
        <v>7</v>
      </c>
      <c r="E24" s="12" t="s">
        <v>12</v>
      </c>
      <c r="F24" s="12" t="s">
        <v>14</v>
      </c>
      <c r="G24" s="12" t="s">
        <v>18</v>
      </c>
      <c r="H24" s="12">
        <v>2</v>
      </c>
      <c r="I24" s="12">
        <v>1</v>
      </c>
      <c r="J24" s="12">
        <v>1</v>
      </c>
      <c r="K24" s="12">
        <f t="shared" si="0"/>
        <v>46</v>
      </c>
      <c r="L24" s="12" t="str">
        <f>IF(AND(B24&gt;=18, B24&lt;=30),
    IF(N24&gt;=3, "Young Professionals", "Other"),
    IF(AND(B24&gt;=60, N24&gt;=3),
        "Wealthy Seniors",
        IF(AND(B24&gt;=31, B24&lt;=59, N24&gt;=2),
            "Moderately Engaged Prof.",
            IF(AND(B24&gt;=60, N24&lt;2),
                "Low-Income Retirees", "Other"))))</f>
        <v>Young Professionals</v>
      </c>
      <c r="M24" t="str">
        <f t="shared" si="1"/>
        <v>18-24</v>
      </c>
      <c r="N24" s="26">
        <f>H24 + I24</f>
        <v>3</v>
      </c>
      <c r="O24" s="26">
        <f t="shared" si="2"/>
        <v>50173.108</v>
      </c>
      <c r="Q24" s="3" t="s">
        <v>20</v>
      </c>
      <c r="R24" t="s">
        <v>28</v>
      </c>
      <c r="S24" t="s">
        <v>68</v>
      </c>
      <c r="T24" t="s">
        <v>28</v>
      </c>
      <c r="U24" t="s">
        <v>68</v>
      </c>
      <c r="V24" t="s">
        <v>28</v>
      </c>
      <c r="W24" t="s">
        <v>68</v>
      </c>
      <c r="X24" t="s">
        <v>28</v>
      </c>
      <c r="Y24" t="s">
        <v>68</v>
      </c>
    </row>
    <row r="25" spans="1:27" ht="18">
      <c r="A25" s="12">
        <v>24</v>
      </c>
      <c r="B25" s="12">
        <v>38</v>
      </c>
      <c r="C25" s="12">
        <v>48298.68</v>
      </c>
      <c r="D25" s="12" t="s">
        <v>8</v>
      </c>
      <c r="E25" s="12" t="s">
        <v>11</v>
      </c>
      <c r="F25" s="12" t="s">
        <v>15</v>
      </c>
      <c r="G25" s="12" t="s">
        <v>18</v>
      </c>
      <c r="H25" s="12">
        <v>1</v>
      </c>
      <c r="I25" s="12">
        <v>1</v>
      </c>
      <c r="J25" s="12">
        <v>2</v>
      </c>
      <c r="K25" s="12">
        <f t="shared" si="0"/>
        <v>46</v>
      </c>
      <c r="L25" s="12" t="str">
        <f>IF(AND(B25&gt;=18, B25&lt;=30),
    IF(N25&gt;=3, "Young Professionals", "Other"),
    IF(AND(B25&gt;=60, N25&gt;=3),
        "Wealthy Seniors",
        IF(AND(B25&gt;=31, B25&lt;=59, N25&gt;=2),
            "Moderately Engaged Prof.",
            IF(AND(B25&gt;=60, N25&lt;2),
                "Low-Income Retirees", "Other"))))</f>
        <v>Moderately Engaged Prof.</v>
      </c>
      <c r="M25" t="str">
        <f t="shared" si="1"/>
        <v>35-44</v>
      </c>
      <c r="N25" s="26">
        <f>H25 + I25</f>
        <v>2</v>
      </c>
      <c r="O25" s="26">
        <f t="shared" si="2"/>
        <v>53730.51263157896</v>
      </c>
      <c r="Q25" s="4" t="s">
        <v>76</v>
      </c>
      <c r="R25" s="5">
        <v>3</v>
      </c>
      <c r="S25" s="5">
        <v>49865.206666666665</v>
      </c>
      <c r="T25" s="5"/>
      <c r="U25" s="5"/>
      <c r="V25" s="5">
        <v>1</v>
      </c>
      <c r="W25" s="5">
        <v>42293.19</v>
      </c>
      <c r="X25" s="5"/>
      <c r="Y25" s="5"/>
      <c r="Z25" s="5">
        <v>4</v>
      </c>
      <c r="AA25" s="5">
        <v>47972.202499999999</v>
      </c>
    </row>
    <row r="26" spans="1:27" ht="18">
      <c r="A26" s="12">
        <v>25</v>
      </c>
      <c r="B26" s="12">
        <v>50</v>
      </c>
      <c r="C26" s="12">
        <v>89502.92</v>
      </c>
      <c r="D26" s="12" t="s">
        <v>7</v>
      </c>
      <c r="E26" s="12" t="s">
        <v>10</v>
      </c>
      <c r="F26" s="12" t="s">
        <v>13</v>
      </c>
      <c r="G26" s="12" t="s">
        <v>16</v>
      </c>
      <c r="H26" s="12">
        <v>0</v>
      </c>
      <c r="I26" s="12">
        <v>2</v>
      </c>
      <c r="J26" s="12">
        <v>0</v>
      </c>
      <c r="K26" s="12">
        <f t="shared" si="0"/>
        <v>46</v>
      </c>
      <c r="L26" s="12" t="str">
        <f>IF(AND(B26&gt;=18, B26&lt;=30),
    IF(N26&gt;=3, "Young Professionals", "Other"),
    IF(AND(B26&gt;=60, N26&gt;=3),
        "Wealthy Seniors",
        IF(AND(B26&gt;=31, B26&lt;=59, N26&gt;=2),
            "Moderately Engaged Prof.",
            IF(AND(B26&gt;=60, N26&lt;2),
                "Low-Income Retirees", "Other"))))</f>
        <v>Moderately Engaged Prof.</v>
      </c>
      <c r="M26" t="str">
        <f t="shared" si="1"/>
        <v>45-54</v>
      </c>
      <c r="N26" s="26">
        <f>H26 + I26</f>
        <v>2</v>
      </c>
      <c r="O26" s="26">
        <f t="shared" si="2"/>
        <v>53730.51263157896</v>
      </c>
      <c r="Q26" s="4" t="s">
        <v>63</v>
      </c>
      <c r="R26" s="5">
        <v>8</v>
      </c>
      <c r="S26" s="5">
        <v>56040.284999999996</v>
      </c>
      <c r="T26" s="5">
        <v>13</v>
      </c>
      <c r="U26" s="5">
        <v>61361.927692307705</v>
      </c>
      <c r="V26" s="5">
        <v>5</v>
      </c>
      <c r="W26" s="5">
        <v>49123.476000000002</v>
      </c>
      <c r="X26" s="5">
        <v>12</v>
      </c>
      <c r="Y26" s="5">
        <v>45842.896666666667</v>
      </c>
      <c r="Z26" s="5">
        <v>38</v>
      </c>
      <c r="AA26" s="5">
        <v>53730.51263157896</v>
      </c>
    </row>
    <row r="27" spans="1:27" ht="18">
      <c r="A27" s="12">
        <v>26</v>
      </c>
      <c r="B27" s="12">
        <v>29</v>
      </c>
      <c r="C27" s="12">
        <v>34623.64</v>
      </c>
      <c r="D27" s="12" t="s">
        <v>7</v>
      </c>
      <c r="E27" s="12" t="s">
        <v>10</v>
      </c>
      <c r="F27" s="12" t="s">
        <v>13</v>
      </c>
      <c r="G27" s="12" t="s">
        <v>17</v>
      </c>
      <c r="H27" s="12">
        <v>0</v>
      </c>
      <c r="I27" s="12">
        <v>0</v>
      </c>
      <c r="J27" s="12">
        <v>2</v>
      </c>
      <c r="K27" s="12">
        <f t="shared" si="0"/>
        <v>46</v>
      </c>
      <c r="L27" s="12" t="str">
        <f>IF(AND(B27&gt;=18, B27&lt;=30),
    IF(N27&gt;=3, "Young Professionals", "Other"),
    IF(AND(B27&gt;=60, N27&gt;=3),
        "Wealthy Seniors",
        IF(AND(B27&gt;=31, B27&lt;=59, N27&gt;=2),
            "Moderately Engaged Prof.",
            IF(AND(B27&gt;=60, N27&lt;2),
                "Low-Income Retirees", "Other"))))</f>
        <v>Other</v>
      </c>
      <c r="M27" t="str">
        <f t="shared" si="1"/>
        <v>25-34</v>
      </c>
      <c r="N27" s="26">
        <f>H27 + I27</f>
        <v>0</v>
      </c>
      <c r="O27" s="26">
        <f t="shared" si="2"/>
        <v>42046.358571428573</v>
      </c>
      <c r="Q27" s="4" t="s">
        <v>64</v>
      </c>
      <c r="R27" s="5">
        <v>10</v>
      </c>
      <c r="S27" s="5">
        <v>47075.059000000008</v>
      </c>
      <c r="T27" s="5"/>
      <c r="U27" s="5"/>
      <c r="V27" s="5">
        <v>23</v>
      </c>
      <c r="W27" s="5">
        <v>50818.142173913046</v>
      </c>
      <c r="X27" s="5">
        <v>4</v>
      </c>
      <c r="Y27" s="5">
        <v>37660.06</v>
      </c>
      <c r="Z27" s="5">
        <v>37</v>
      </c>
      <c r="AA27" s="5">
        <v>48384.00270270271</v>
      </c>
    </row>
    <row r="28" spans="1:27" ht="18">
      <c r="A28" s="12">
        <v>27</v>
      </c>
      <c r="B28" s="12">
        <v>39</v>
      </c>
      <c r="C28" s="12">
        <v>38269.279999999999</v>
      </c>
      <c r="D28" s="12" t="s">
        <v>7</v>
      </c>
      <c r="E28" s="12" t="s">
        <v>9</v>
      </c>
      <c r="F28" s="12" t="s">
        <v>13</v>
      </c>
      <c r="G28" s="12" t="s">
        <v>18</v>
      </c>
      <c r="H28" s="12">
        <v>0</v>
      </c>
      <c r="I28" s="12">
        <v>1</v>
      </c>
      <c r="J28" s="12">
        <v>0</v>
      </c>
      <c r="K28" s="12">
        <f t="shared" si="0"/>
        <v>46</v>
      </c>
      <c r="L28" s="12" t="str">
        <f>IF(AND(B28&gt;=18, B28&lt;=30),
    IF(N28&gt;=3, "Young Professionals", "Other"),
    IF(AND(B28&gt;=60, N28&gt;=3),
        "Wealthy Seniors",
        IF(AND(B28&gt;=31, B28&lt;=59, N28&gt;=2),
            "Moderately Engaged Prof.",
            IF(AND(B28&gt;=60, N28&lt;2),
                "Low-Income Retirees", "Other"))))</f>
        <v>Other</v>
      </c>
      <c r="M28" t="str">
        <f t="shared" si="1"/>
        <v>35-44</v>
      </c>
      <c r="N28" s="26">
        <f>H28 + I28</f>
        <v>1</v>
      </c>
      <c r="O28" s="26">
        <f t="shared" si="2"/>
        <v>42046.358571428573</v>
      </c>
      <c r="Q28" s="4" t="s">
        <v>77</v>
      </c>
      <c r="R28" s="5"/>
      <c r="S28" s="5"/>
      <c r="T28" s="5"/>
      <c r="U28" s="5"/>
      <c r="V28" s="5"/>
      <c r="W28" s="5"/>
      <c r="X28" s="5">
        <v>6</v>
      </c>
      <c r="Y28" s="5">
        <v>54385.223333333328</v>
      </c>
      <c r="Z28" s="5">
        <v>6</v>
      </c>
      <c r="AA28" s="5">
        <v>54385.223333333328</v>
      </c>
    </row>
    <row r="29" spans="1:27" ht="18">
      <c r="A29" s="12">
        <v>28</v>
      </c>
      <c r="B29" s="12">
        <v>61</v>
      </c>
      <c r="C29" s="12">
        <v>56359.15</v>
      </c>
      <c r="D29" s="12" t="s">
        <v>7</v>
      </c>
      <c r="E29" s="12" t="s">
        <v>11</v>
      </c>
      <c r="F29" s="12" t="s">
        <v>14</v>
      </c>
      <c r="G29" s="12" t="s">
        <v>17</v>
      </c>
      <c r="H29" s="12">
        <v>2</v>
      </c>
      <c r="I29" s="12">
        <v>0</v>
      </c>
      <c r="J29" s="12">
        <v>3</v>
      </c>
      <c r="K29" s="12">
        <f t="shared" si="0"/>
        <v>46</v>
      </c>
      <c r="L29" s="12" t="str">
        <f>IF(AND(B29&gt;=18, B29&lt;=30),
    IF(N29&gt;=3, "Young Professionals", "Other"),
    IF(AND(B29&gt;=60, N29&gt;=3),
        "Wealthy Seniors",
        IF(AND(B29&gt;=31, B29&lt;=59, N29&gt;=2),
            "Moderately Engaged Prof.",
            IF(AND(B29&gt;=60, N29&lt;2),
                "Low-Income Retirees", "Other"))))</f>
        <v>Other</v>
      </c>
      <c r="M29" t="str">
        <f t="shared" si="1"/>
        <v>55+</v>
      </c>
      <c r="N29" s="26">
        <f>H29 + I29</f>
        <v>2</v>
      </c>
      <c r="O29" s="26">
        <f t="shared" si="2"/>
        <v>42046.358571428573</v>
      </c>
      <c r="Q29" s="4" t="s">
        <v>78</v>
      </c>
      <c r="R29" s="5"/>
      <c r="S29" s="5"/>
      <c r="T29" s="5">
        <v>15</v>
      </c>
      <c r="U29" s="5">
        <v>50173.108</v>
      </c>
      <c r="V29" s="5"/>
      <c r="W29" s="5"/>
      <c r="X29" s="5"/>
      <c r="Y29" s="5"/>
      <c r="Z29" s="5">
        <v>15</v>
      </c>
      <c r="AA29" s="5">
        <v>50173.108</v>
      </c>
    </row>
    <row r="30" spans="1:27" ht="18">
      <c r="A30" s="12">
        <v>29</v>
      </c>
      <c r="B30" s="12">
        <v>42</v>
      </c>
      <c r="C30" s="12">
        <v>63090.58</v>
      </c>
      <c r="D30" s="12" t="s">
        <v>8</v>
      </c>
      <c r="E30" s="12" t="s">
        <v>9</v>
      </c>
      <c r="F30" s="12" t="s">
        <v>15</v>
      </c>
      <c r="G30" s="12" t="s">
        <v>17</v>
      </c>
      <c r="H30" s="12">
        <v>1</v>
      </c>
      <c r="I30" s="12">
        <v>0</v>
      </c>
      <c r="J30" s="12">
        <v>2</v>
      </c>
      <c r="K30" s="12">
        <f t="shared" si="0"/>
        <v>46</v>
      </c>
      <c r="L30" s="12" t="str">
        <f>IF(AND(B30&gt;=18, B30&lt;=30),
    IF(N30&gt;=3, "Young Professionals", "Other"),
    IF(AND(B30&gt;=60, N30&gt;=3),
        "Wealthy Seniors",
        IF(AND(B30&gt;=31, B30&lt;=59, N30&gt;=2),
            "Moderately Engaged Prof.",
            IF(AND(B30&gt;=60, N30&lt;2),
                "Low-Income Retirees", "Other"))))</f>
        <v>Other</v>
      </c>
      <c r="M30" t="str">
        <f t="shared" si="1"/>
        <v>35-44</v>
      </c>
      <c r="N30" s="26">
        <f>H30 + I30</f>
        <v>1</v>
      </c>
      <c r="O30" s="26">
        <f t="shared" si="2"/>
        <v>42046.358571428573</v>
      </c>
      <c r="Q30" s="4" t="s">
        <v>26</v>
      </c>
      <c r="R30" s="5">
        <v>21</v>
      </c>
      <c r="S30" s="5">
        <v>50888.975714285712</v>
      </c>
      <c r="T30" s="5">
        <v>28</v>
      </c>
      <c r="U30" s="5">
        <v>55367.917142857157</v>
      </c>
      <c r="V30" s="5">
        <v>29</v>
      </c>
      <c r="W30" s="5">
        <v>50231.994482758622</v>
      </c>
      <c r="X30" s="5">
        <v>22</v>
      </c>
      <c r="Y30" s="5">
        <v>46684.833636363634</v>
      </c>
      <c r="Z30" s="5">
        <v>100</v>
      </c>
      <c r="AA30" s="5">
        <v>51027.643500000006</v>
      </c>
    </row>
    <row r="31" spans="1:27" ht="18">
      <c r="A31" s="12">
        <v>30</v>
      </c>
      <c r="B31" s="12">
        <v>44</v>
      </c>
      <c r="C31" s="12">
        <v>84308.39</v>
      </c>
      <c r="D31" s="12" t="s">
        <v>7</v>
      </c>
      <c r="E31" s="12" t="s">
        <v>10</v>
      </c>
      <c r="F31" s="12" t="s">
        <v>15</v>
      </c>
      <c r="G31" s="12" t="s">
        <v>16</v>
      </c>
      <c r="H31" s="12">
        <v>1</v>
      </c>
      <c r="I31" s="12">
        <v>2</v>
      </c>
      <c r="J31" s="12">
        <v>1</v>
      </c>
      <c r="K31" s="12">
        <f t="shared" si="0"/>
        <v>46</v>
      </c>
      <c r="L31" s="12" t="str">
        <f>IF(AND(B31&gt;=18, B31&lt;=30),
    IF(N31&gt;=3, "Young Professionals", "Other"),
    IF(AND(B31&gt;=60, N31&gt;=3),
        "Wealthy Seniors",
        IF(AND(B31&gt;=31, B31&lt;=59, N31&gt;=2),
            "Moderately Engaged Prof.",
            IF(AND(B31&gt;=60, N31&lt;2),
                "Low-Income Retirees", "Other"))))</f>
        <v>Moderately Engaged Prof.</v>
      </c>
      <c r="M31" t="str">
        <f t="shared" si="1"/>
        <v>35-44</v>
      </c>
      <c r="N31" s="26">
        <f>H31 + I31</f>
        <v>3</v>
      </c>
      <c r="O31" s="26">
        <f t="shared" si="2"/>
        <v>53730.51263157896</v>
      </c>
    </row>
    <row r="32" spans="1:27" ht="18">
      <c r="A32" s="12">
        <v>31</v>
      </c>
      <c r="B32" s="12">
        <v>59</v>
      </c>
      <c r="C32" s="12">
        <v>74343.81</v>
      </c>
      <c r="D32" s="12" t="s">
        <v>7</v>
      </c>
      <c r="E32" s="12" t="s">
        <v>11</v>
      </c>
      <c r="F32" s="12" t="s">
        <v>15</v>
      </c>
      <c r="G32" s="12" t="s">
        <v>18</v>
      </c>
      <c r="H32" s="12">
        <v>1</v>
      </c>
      <c r="I32" s="12">
        <v>1</v>
      </c>
      <c r="J32" s="12">
        <v>3</v>
      </c>
      <c r="K32" s="12">
        <f t="shared" si="0"/>
        <v>46</v>
      </c>
      <c r="L32" s="12" t="str">
        <f>IF(AND(B32&gt;=18, B32&lt;=30),
    IF(N32&gt;=3, "Young Professionals", "Other"),
    IF(AND(B32&gt;=60, N32&gt;=3),
        "Wealthy Seniors",
        IF(AND(B32&gt;=31, B32&lt;=59, N32&gt;=2),
            "Moderately Engaged Prof.",
            IF(AND(B32&gt;=60, N32&lt;2),
                "Low-Income Retirees", "Other"))))</f>
        <v>Moderately Engaged Prof.</v>
      </c>
      <c r="M32" t="str">
        <f t="shared" si="1"/>
        <v>55+</v>
      </c>
      <c r="N32" s="26">
        <f>H32 + I32</f>
        <v>2</v>
      </c>
      <c r="O32" s="26">
        <f t="shared" si="2"/>
        <v>53730.51263157896</v>
      </c>
    </row>
    <row r="33" spans="1:22" ht="18">
      <c r="A33" s="12">
        <v>32</v>
      </c>
      <c r="B33" s="12">
        <v>45</v>
      </c>
      <c r="C33" s="12">
        <v>62356</v>
      </c>
      <c r="D33" s="12" t="s">
        <v>8</v>
      </c>
      <c r="E33" s="12" t="s">
        <v>11</v>
      </c>
      <c r="F33" s="12" t="s">
        <v>13</v>
      </c>
      <c r="G33" s="12" t="s">
        <v>16</v>
      </c>
      <c r="H33" s="12">
        <v>0</v>
      </c>
      <c r="I33" s="12">
        <v>2</v>
      </c>
      <c r="J33" s="12">
        <v>0</v>
      </c>
      <c r="K33" s="12">
        <f t="shared" si="0"/>
        <v>46</v>
      </c>
      <c r="L33" s="12" t="str">
        <f>IF(AND(B33&gt;=18, B33&lt;=30),
    IF(N33&gt;=3, "Young Professionals", "Other"),
    IF(AND(B33&gt;=60, N33&gt;=3),
        "Wealthy Seniors",
        IF(AND(B33&gt;=31, B33&lt;=59, N33&gt;=2),
            "Moderately Engaged Prof.",
            IF(AND(B33&gt;=60, N33&lt;2),
                "Low-Income Retirees", "Other"))))</f>
        <v>Moderately Engaged Prof.</v>
      </c>
      <c r="M33" t="str">
        <f t="shared" si="1"/>
        <v>45-54</v>
      </c>
      <c r="N33" s="26">
        <f>H33 + I33</f>
        <v>2</v>
      </c>
      <c r="O33" s="26">
        <f t="shared" si="2"/>
        <v>53730.51263157896</v>
      </c>
    </row>
    <row r="34" spans="1:22" ht="18">
      <c r="A34" s="12">
        <v>33</v>
      </c>
      <c r="B34" s="12">
        <v>33</v>
      </c>
      <c r="C34" s="12">
        <v>54395.89</v>
      </c>
      <c r="D34" s="12" t="s">
        <v>8</v>
      </c>
      <c r="E34" s="12" t="s">
        <v>9</v>
      </c>
      <c r="F34" s="12" t="s">
        <v>14</v>
      </c>
      <c r="G34" s="12" t="s">
        <v>18</v>
      </c>
      <c r="H34" s="12">
        <v>2</v>
      </c>
      <c r="I34" s="12">
        <v>1</v>
      </c>
      <c r="J34" s="12">
        <v>1</v>
      </c>
      <c r="K34" s="12">
        <f t="shared" si="0"/>
        <v>46</v>
      </c>
      <c r="L34" s="12" t="str">
        <f>IF(AND(B34&gt;=18, B34&lt;=30),
    IF(N34&gt;=3, "Young Professionals", "Other"),
    IF(AND(B34&gt;=60, N34&gt;=3),
        "Wealthy Seniors",
        IF(AND(B34&gt;=31, B34&lt;=59, N34&gt;=2),
            "Moderately Engaged Prof.",
            IF(AND(B34&gt;=60, N34&lt;2),
                "Low-Income Retirees", "Other"))))</f>
        <v>Moderately Engaged Prof.</v>
      </c>
      <c r="M34" t="str">
        <f t="shared" si="1"/>
        <v>25-34</v>
      </c>
      <c r="N34" s="26">
        <f>H34 + I34</f>
        <v>3</v>
      </c>
      <c r="O34" s="26">
        <f t="shared" si="2"/>
        <v>53730.51263157896</v>
      </c>
    </row>
    <row r="35" spans="1:22" ht="18">
      <c r="A35" s="12">
        <v>34</v>
      </c>
      <c r="B35" s="12">
        <v>32</v>
      </c>
      <c r="C35" s="12">
        <v>63449.46</v>
      </c>
      <c r="D35" s="12" t="s">
        <v>7</v>
      </c>
      <c r="E35" s="12" t="s">
        <v>10</v>
      </c>
      <c r="F35" s="12" t="s">
        <v>13</v>
      </c>
      <c r="G35" s="12" t="s">
        <v>18</v>
      </c>
      <c r="H35" s="12">
        <v>0</v>
      </c>
      <c r="I35" s="12">
        <v>1</v>
      </c>
      <c r="J35" s="12">
        <v>0</v>
      </c>
      <c r="K35" s="12">
        <f t="shared" si="0"/>
        <v>46</v>
      </c>
      <c r="L35" s="12" t="str">
        <f>IF(AND(B35&gt;=18, B35&lt;=30),
    IF(N35&gt;=3, "Young Professionals", "Other"),
    IF(AND(B35&gt;=60, N35&gt;=3),
        "Wealthy Seniors",
        IF(AND(B35&gt;=31, B35&lt;=59, N35&gt;=2),
            "Moderately Engaged Prof.",
            IF(AND(B35&gt;=60, N35&lt;2),
                "Low-Income Retirees", "Other"))))</f>
        <v>Other</v>
      </c>
      <c r="M35" t="str">
        <f t="shared" si="1"/>
        <v>25-34</v>
      </c>
      <c r="N35" s="26">
        <f>H35 + I35</f>
        <v>1</v>
      </c>
      <c r="O35" s="26">
        <f t="shared" si="2"/>
        <v>42046.358571428573</v>
      </c>
      <c r="Q35" s="3" t="s">
        <v>67</v>
      </c>
      <c r="R35" s="3" t="s">
        <v>27</v>
      </c>
    </row>
    <row r="36" spans="1:22" ht="18">
      <c r="A36" s="12">
        <v>35</v>
      </c>
      <c r="B36" s="12">
        <v>64</v>
      </c>
      <c r="C36" s="12">
        <v>40845.17</v>
      </c>
      <c r="D36" s="12" t="s">
        <v>7</v>
      </c>
      <c r="E36" s="12" t="s">
        <v>11</v>
      </c>
      <c r="F36" s="12" t="s">
        <v>13</v>
      </c>
      <c r="G36" s="12" t="s">
        <v>18</v>
      </c>
      <c r="H36" s="12">
        <v>0</v>
      </c>
      <c r="I36" s="12">
        <v>1</v>
      </c>
      <c r="J36" s="12">
        <v>0</v>
      </c>
      <c r="K36" s="12">
        <f t="shared" si="0"/>
        <v>46</v>
      </c>
      <c r="L36" s="12" t="str">
        <f>IF(AND(B36&gt;=18, B36&lt;=30),
    IF(N36&gt;=3, "Young Professionals", "Other"),
    IF(AND(B36&gt;=60, N36&gt;=3),
        "Wealthy Seniors",
        IF(AND(B36&gt;=31, B36&lt;=59, N36&gt;=2),
            "Moderately Engaged Prof.",
            IF(AND(B36&gt;=60, N36&lt;2),
                "Low-Income Retirees", "Other"))))</f>
        <v>Low-Income Retirees</v>
      </c>
      <c r="M36" t="str">
        <f t="shared" si="1"/>
        <v>55+</v>
      </c>
      <c r="N36" s="26">
        <f>H36 + I36</f>
        <v>1</v>
      </c>
      <c r="O36" s="26" t="s">
        <v>75</v>
      </c>
      <c r="Q36" s="3" t="s">
        <v>20</v>
      </c>
      <c r="R36" t="s">
        <v>10</v>
      </c>
      <c r="S36" t="s">
        <v>11</v>
      </c>
      <c r="T36" t="s">
        <v>12</v>
      </c>
      <c r="U36" t="s">
        <v>9</v>
      </c>
      <c r="V36" t="s">
        <v>26</v>
      </c>
    </row>
    <row r="37" spans="1:22" ht="18">
      <c r="A37" s="12">
        <v>36</v>
      </c>
      <c r="B37" s="12">
        <v>61</v>
      </c>
      <c r="C37" s="12">
        <v>45257.51</v>
      </c>
      <c r="D37" s="12" t="s">
        <v>7</v>
      </c>
      <c r="E37" s="12" t="s">
        <v>9</v>
      </c>
      <c r="F37" s="12" t="s">
        <v>15</v>
      </c>
      <c r="G37" s="12" t="s">
        <v>18</v>
      </c>
      <c r="H37" s="12">
        <v>1</v>
      </c>
      <c r="I37" s="12">
        <v>1</v>
      </c>
      <c r="J37" s="12">
        <v>3</v>
      </c>
      <c r="K37" s="12">
        <f t="shared" si="0"/>
        <v>46</v>
      </c>
      <c r="L37" s="12" t="str">
        <f>IF(AND(B37&gt;=18, B37&lt;=30),
    IF(N37&gt;=3, "Young Professionals", "Other"),
    IF(AND(B37&gt;=60, N37&gt;=3),
        "Wealthy Seniors",
        IF(AND(B37&gt;=31, B37&lt;=59, N37&gt;=2),
            "Moderately Engaged Prof.",
            IF(AND(B37&gt;=60, N37&lt;2),
                "Low-Income Retirees", "Other"))))</f>
        <v>Other</v>
      </c>
      <c r="M37" t="str">
        <f t="shared" si="1"/>
        <v>55+</v>
      </c>
      <c r="N37" s="26">
        <f>H37 + I37</f>
        <v>2</v>
      </c>
      <c r="O37" s="26">
        <f t="shared" si="2"/>
        <v>42046.358571428573</v>
      </c>
      <c r="Q37" s="4" t="s">
        <v>14</v>
      </c>
      <c r="R37">
        <v>351791.62</v>
      </c>
      <c r="S37">
        <v>448884.38000000006</v>
      </c>
      <c r="T37">
        <v>560608.14</v>
      </c>
      <c r="U37">
        <v>427715.50999999989</v>
      </c>
      <c r="V37">
        <v>1788999.65</v>
      </c>
    </row>
    <row r="38" spans="1:22" ht="18">
      <c r="A38" s="12">
        <v>37</v>
      </c>
      <c r="B38" s="12">
        <v>20</v>
      </c>
      <c r="C38" s="12">
        <v>27763.64</v>
      </c>
      <c r="D38" s="12" t="s">
        <v>7</v>
      </c>
      <c r="E38" s="12" t="s">
        <v>10</v>
      </c>
      <c r="F38" s="12" t="s">
        <v>13</v>
      </c>
      <c r="G38" s="12" t="s">
        <v>18</v>
      </c>
      <c r="H38" s="12">
        <v>0</v>
      </c>
      <c r="I38" s="12">
        <v>1</v>
      </c>
      <c r="J38" s="12">
        <v>0</v>
      </c>
      <c r="K38" s="12">
        <f t="shared" si="0"/>
        <v>46</v>
      </c>
      <c r="L38" s="12" t="str">
        <f>IF(AND(B38&gt;=18, B38&lt;=30),
    IF(N38&gt;=3, "Young Professionals", "Other"),
    IF(AND(B38&gt;=60, N38&gt;=3),
        "Wealthy Seniors",
        IF(AND(B38&gt;=31, B38&lt;=59, N38&gt;=2),
            "Moderately Engaged Prof.",
            IF(AND(B38&gt;=60, N38&lt;2),
                "Low-Income Retirees", "Other"))))</f>
        <v>Other</v>
      </c>
      <c r="M38" t="str">
        <f t="shared" si="1"/>
        <v>18-24</v>
      </c>
      <c r="N38" s="26">
        <f>H38 + I38</f>
        <v>1</v>
      </c>
      <c r="O38" s="26">
        <f t="shared" si="2"/>
        <v>42046.358571428573</v>
      </c>
      <c r="Q38" s="4" t="s">
        <v>13</v>
      </c>
      <c r="R38">
        <v>395581.56</v>
      </c>
      <c r="S38">
        <v>349432.42</v>
      </c>
      <c r="T38">
        <v>282313.66000000003</v>
      </c>
      <c r="U38">
        <v>240658.22</v>
      </c>
      <c r="V38">
        <v>1267985.8600000001</v>
      </c>
    </row>
    <row r="39" spans="1:22" ht="18">
      <c r="A39" s="12">
        <v>38</v>
      </c>
      <c r="B39" s="12">
        <v>54</v>
      </c>
      <c r="C39" s="12">
        <v>46567.29</v>
      </c>
      <c r="D39" s="12" t="s">
        <v>7</v>
      </c>
      <c r="E39" s="12" t="s">
        <v>9</v>
      </c>
      <c r="F39" s="12" t="s">
        <v>15</v>
      </c>
      <c r="G39" s="12" t="s">
        <v>17</v>
      </c>
      <c r="H39" s="12">
        <v>1</v>
      </c>
      <c r="I39" s="12">
        <v>0</v>
      </c>
      <c r="J39" s="12">
        <v>2</v>
      </c>
      <c r="K39" s="12">
        <f t="shared" si="0"/>
        <v>46</v>
      </c>
      <c r="L39" s="12" t="str">
        <f>IF(AND(B39&gt;=18, B39&lt;=30),
    IF(N39&gt;=3, "Young Professionals", "Other"),
    IF(AND(B39&gt;=60, N39&gt;=3),
        "Wealthy Seniors",
        IF(AND(B39&gt;=31, B39&lt;=59, N39&gt;=2),
            "Moderately Engaged Prof.",
            IF(AND(B39&gt;=60, N39&lt;2),
                "Low-Income Retirees", "Other"))))</f>
        <v>Other</v>
      </c>
      <c r="M39" t="str">
        <f t="shared" si="1"/>
        <v>45-54</v>
      </c>
      <c r="N39" s="26">
        <f>H39 + I39</f>
        <v>1</v>
      </c>
      <c r="O39" s="26">
        <f t="shared" si="2"/>
        <v>42046.358571428573</v>
      </c>
      <c r="Q39" s="4" t="s">
        <v>15</v>
      </c>
      <c r="R39">
        <v>444266.31</v>
      </c>
      <c r="S39">
        <v>404648.86</v>
      </c>
      <c r="T39">
        <v>457976.47000000003</v>
      </c>
      <c r="U39">
        <v>738887.2</v>
      </c>
      <c r="V39">
        <v>2045778.8399999999</v>
      </c>
    </row>
    <row r="40" spans="1:22" ht="18">
      <c r="A40" s="12">
        <v>39</v>
      </c>
      <c r="B40" s="12">
        <v>24</v>
      </c>
      <c r="C40" s="12">
        <v>64439.62</v>
      </c>
      <c r="D40" s="12" t="s">
        <v>7</v>
      </c>
      <c r="E40" s="12" t="s">
        <v>12</v>
      </c>
      <c r="F40" s="12" t="s">
        <v>14</v>
      </c>
      <c r="G40" s="12" t="s">
        <v>16</v>
      </c>
      <c r="H40" s="12">
        <v>2</v>
      </c>
      <c r="I40" s="12">
        <v>2</v>
      </c>
      <c r="J40" s="12">
        <v>1</v>
      </c>
      <c r="K40" s="12">
        <f t="shared" si="0"/>
        <v>46</v>
      </c>
      <c r="L40" s="12" t="str">
        <f>IF(AND(B40&gt;=18, B40&lt;=30),
    IF(N40&gt;=3, "Young Professionals", "Other"),
    IF(AND(B40&gt;=60, N40&gt;=3),
        "Wealthy Seniors",
        IF(AND(B40&gt;=31, B40&lt;=59, N40&gt;=2),
            "Moderately Engaged Prof.",
            IF(AND(B40&gt;=60, N40&lt;2),
                "Low-Income Retirees", "Other"))))</f>
        <v>Young Professionals</v>
      </c>
      <c r="M40" t="str">
        <f t="shared" si="1"/>
        <v>18-24</v>
      </c>
      <c r="N40" s="26">
        <f>H40 + I40</f>
        <v>4</v>
      </c>
      <c r="O40" s="26">
        <f t="shared" si="2"/>
        <v>50173.108</v>
      </c>
      <c r="Q40" s="4" t="s">
        <v>26</v>
      </c>
      <c r="R40">
        <v>1191639.49</v>
      </c>
      <c r="S40">
        <v>1202965.6600000001</v>
      </c>
      <c r="T40">
        <v>1300898.27</v>
      </c>
      <c r="U40">
        <v>1407260.9299999997</v>
      </c>
      <c r="V40">
        <v>5102764.3499999996</v>
      </c>
    </row>
    <row r="41" spans="1:22" ht="18">
      <c r="A41" s="12">
        <v>40</v>
      </c>
      <c r="B41" s="12">
        <v>38</v>
      </c>
      <c r="C41" s="12">
        <v>46854.61</v>
      </c>
      <c r="D41" s="12" t="s">
        <v>8</v>
      </c>
      <c r="E41" s="12" t="s">
        <v>11</v>
      </c>
      <c r="F41" s="12" t="s">
        <v>15</v>
      </c>
      <c r="G41" s="12" t="s">
        <v>17</v>
      </c>
      <c r="H41" s="12">
        <v>1</v>
      </c>
      <c r="I41" s="12">
        <v>0</v>
      </c>
      <c r="J41" s="12">
        <v>2</v>
      </c>
      <c r="K41" s="12">
        <f t="shared" si="0"/>
        <v>46</v>
      </c>
      <c r="L41" s="12" t="str">
        <f>IF(AND(B41&gt;=18, B41&lt;=30),
    IF(N41&gt;=3, "Young Professionals", "Other"),
    IF(AND(B41&gt;=60, N41&gt;=3),
        "Wealthy Seniors",
        IF(AND(B41&gt;=31, B41&lt;=59, N41&gt;=2),
            "Moderately Engaged Prof.",
            IF(AND(B41&gt;=60, N41&lt;2),
                "Low-Income Retirees", "Other"))))</f>
        <v>Other</v>
      </c>
      <c r="M41" t="str">
        <f t="shared" si="1"/>
        <v>35-44</v>
      </c>
      <c r="N41" s="26">
        <f>H41 + I41</f>
        <v>1</v>
      </c>
      <c r="O41" s="26">
        <f t="shared" si="2"/>
        <v>42046.358571428573</v>
      </c>
    </row>
    <row r="42" spans="1:22" ht="18">
      <c r="A42" s="12">
        <v>41</v>
      </c>
      <c r="B42" s="12">
        <v>26</v>
      </c>
      <c r="C42" s="12">
        <v>38389.360000000001</v>
      </c>
      <c r="D42" s="12" t="s">
        <v>7</v>
      </c>
      <c r="E42" s="12" t="s">
        <v>12</v>
      </c>
      <c r="F42" s="12" t="s">
        <v>14</v>
      </c>
      <c r="G42" s="12" t="s">
        <v>18</v>
      </c>
      <c r="H42" s="12">
        <v>2</v>
      </c>
      <c r="I42" s="12">
        <v>1</v>
      </c>
      <c r="J42" s="12">
        <v>1</v>
      </c>
      <c r="K42" s="12">
        <f t="shared" si="0"/>
        <v>46</v>
      </c>
      <c r="L42" s="12" t="str">
        <f>IF(AND(B42&gt;=18, B42&lt;=30),
    IF(N42&gt;=3, "Young Professionals", "Other"),
    IF(AND(B42&gt;=60, N42&gt;=3),
        "Wealthy Seniors",
        IF(AND(B42&gt;=31, B42&lt;=59, N42&gt;=2),
            "Moderately Engaged Prof.",
            IF(AND(B42&gt;=60, N42&lt;2),
                "Low-Income Retirees", "Other"))))</f>
        <v>Young Professionals</v>
      </c>
      <c r="M42" t="str">
        <f t="shared" si="1"/>
        <v>25-34</v>
      </c>
      <c r="N42" s="26">
        <f>H42 + I42</f>
        <v>3</v>
      </c>
      <c r="O42" s="26">
        <f t="shared" si="2"/>
        <v>50173.108</v>
      </c>
    </row>
    <row r="43" spans="1:22" ht="18">
      <c r="A43" s="12">
        <v>42</v>
      </c>
      <c r="B43" s="12">
        <v>56</v>
      </c>
      <c r="C43" s="12">
        <v>44603.33</v>
      </c>
      <c r="D43" s="12" t="s">
        <v>7</v>
      </c>
      <c r="E43" s="12" t="s">
        <v>10</v>
      </c>
      <c r="F43" s="12" t="s">
        <v>15</v>
      </c>
      <c r="G43" s="12" t="s">
        <v>16</v>
      </c>
      <c r="H43" s="12">
        <v>1</v>
      </c>
      <c r="I43" s="12">
        <v>2</v>
      </c>
      <c r="J43" s="12">
        <v>3</v>
      </c>
      <c r="K43" s="12">
        <f t="shared" si="0"/>
        <v>46</v>
      </c>
      <c r="L43" s="12" t="str">
        <f>IF(AND(B43&gt;=18, B43&lt;=30),
    IF(N43&gt;=3, "Young Professionals", "Other"),
    IF(AND(B43&gt;=60, N43&gt;=3),
        "Wealthy Seniors",
        IF(AND(B43&gt;=31, B43&lt;=59, N43&gt;=2),
            "Moderately Engaged Prof.",
            IF(AND(B43&gt;=60, N43&lt;2),
                "Low-Income Retirees", "Other"))))</f>
        <v>Moderately Engaged Prof.</v>
      </c>
      <c r="M43" t="str">
        <f t="shared" si="1"/>
        <v>55+</v>
      </c>
      <c r="N43" s="26">
        <f>H43 + I43</f>
        <v>3</v>
      </c>
      <c r="O43" s="26">
        <f t="shared" si="2"/>
        <v>53730.51263157896</v>
      </c>
    </row>
    <row r="44" spans="1:22" ht="18">
      <c r="A44" s="12">
        <v>43</v>
      </c>
      <c r="B44" s="12">
        <v>35</v>
      </c>
      <c r="C44" s="12">
        <v>60861.25</v>
      </c>
      <c r="D44" s="12" t="s">
        <v>8</v>
      </c>
      <c r="E44" s="12" t="s">
        <v>12</v>
      </c>
      <c r="F44" s="12" t="s">
        <v>13</v>
      </c>
      <c r="G44" s="12" t="s">
        <v>18</v>
      </c>
      <c r="H44" s="12">
        <v>0</v>
      </c>
      <c r="I44" s="12">
        <v>1</v>
      </c>
      <c r="J44" s="12">
        <v>0</v>
      </c>
      <c r="K44" s="12">
        <f t="shared" si="0"/>
        <v>46</v>
      </c>
      <c r="L44" s="12" t="str">
        <f>IF(AND(B44&gt;=18, B44&lt;=30),
    IF(N44&gt;=3, "Young Professionals", "Other"),
    IF(AND(B44&gt;=60, N44&gt;=3),
        "Wealthy Seniors",
        IF(AND(B44&gt;=31, B44&lt;=59, N44&gt;=2),
            "Moderately Engaged Prof.",
            IF(AND(B44&gt;=60, N44&lt;2),
                "Low-Income Retirees", "Other"))))</f>
        <v>Other</v>
      </c>
      <c r="M44" t="str">
        <f t="shared" si="1"/>
        <v>35-44</v>
      </c>
      <c r="N44" s="26">
        <f>H44 + I44</f>
        <v>1</v>
      </c>
      <c r="O44" s="26">
        <f t="shared" si="2"/>
        <v>42046.358571428573</v>
      </c>
    </row>
    <row r="45" spans="1:22" ht="18">
      <c r="A45" s="12">
        <v>44</v>
      </c>
      <c r="B45" s="12">
        <v>21</v>
      </c>
      <c r="C45" s="12">
        <v>46163.53</v>
      </c>
      <c r="D45" s="12" t="s">
        <v>8</v>
      </c>
      <c r="E45" s="12" t="s">
        <v>12</v>
      </c>
      <c r="F45" s="12" t="s">
        <v>13</v>
      </c>
      <c r="G45" s="12" t="s">
        <v>16</v>
      </c>
      <c r="H45" s="12">
        <v>0</v>
      </c>
      <c r="I45" s="12">
        <v>2</v>
      </c>
      <c r="J45" s="12">
        <v>0</v>
      </c>
      <c r="K45" s="12">
        <f t="shared" si="0"/>
        <v>46</v>
      </c>
      <c r="L45" s="12" t="str">
        <f>IF(AND(B45&gt;=18, B45&lt;=30),
    IF(N45&gt;=3, "Young Professionals", "Other"),
    IF(AND(B45&gt;=60, N45&gt;=3),
        "Wealthy Seniors",
        IF(AND(B45&gt;=31, B45&lt;=59, N45&gt;=2),
            "Moderately Engaged Prof.",
            IF(AND(B45&gt;=60, N45&lt;2),
                "Low-Income Retirees", "Other"))))</f>
        <v>Other</v>
      </c>
      <c r="M45" t="str">
        <f t="shared" si="1"/>
        <v>18-24</v>
      </c>
      <c r="N45" s="26">
        <f>H45 + I45</f>
        <v>2</v>
      </c>
      <c r="O45" s="26">
        <f t="shared" si="2"/>
        <v>42046.358571428573</v>
      </c>
    </row>
    <row r="46" spans="1:22" ht="18">
      <c r="A46" s="12">
        <v>45</v>
      </c>
      <c r="B46" s="12">
        <v>42</v>
      </c>
      <c r="C46" s="12">
        <v>62748.82</v>
      </c>
      <c r="D46" s="12" t="s">
        <v>8</v>
      </c>
      <c r="E46" s="12" t="s">
        <v>10</v>
      </c>
      <c r="F46" s="12" t="s">
        <v>14</v>
      </c>
      <c r="G46" s="12" t="s">
        <v>17</v>
      </c>
      <c r="H46" s="12">
        <v>2</v>
      </c>
      <c r="I46" s="12">
        <v>0</v>
      </c>
      <c r="J46" s="12">
        <v>2</v>
      </c>
      <c r="K46" s="12">
        <f t="shared" si="0"/>
        <v>46</v>
      </c>
      <c r="L46" s="12" t="str">
        <f>IF(AND(B46&gt;=18, B46&lt;=30),
    IF(N46&gt;=3, "Young Professionals", "Other"),
    IF(AND(B46&gt;=60, N46&gt;=3),
        "Wealthy Seniors",
        IF(AND(B46&gt;=31, B46&lt;=59, N46&gt;=2),
            "Moderately Engaged Prof.",
            IF(AND(B46&gt;=60, N46&lt;2),
                "Low-Income Retirees", "Other"))))</f>
        <v>Moderately Engaged Prof.</v>
      </c>
      <c r="M46" t="str">
        <f t="shared" si="1"/>
        <v>35-44</v>
      </c>
      <c r="N46" s="26">
        <f>H46 + I46</f>
        <v>2</v>
      </c>
      <c r="O46" s="26">
        <f t="shared" si="2"/>
        <v>53730.51263157896</v>
      </c>
    </row>
    <row r="47" spans="1:22" ht="18">
      <c r="A47" s="12">
        <v>46</v>
      </c>
      <c r="B47" s="12">
        <v>31</v>
      </c>
      <c r="C47" s="12">
        <v>30330.14</v>
      </c>
      <c r="D47" s="12" t="s">
        <v>8</v>
      </c>
      <c r="E47" s="12" t="s">
        <v>9</v>
      </c>
      <c r="F47" s="12" t="s">
        <v>14</v>
      </c>
      <c r="G47" s="12" t="s">
        <v>16</v>
      </c>
      <c r="H47" s="12">
        <v>2</v>
      </c>
      <c r="I47" s="12">
        <v>2</v>
      </c>
      <c r="J47" s="12">
        <v>1</v>
      </c>
      <c r="K47" s="12">
        <f t="shared" si="0"/>
        <v>46</v>
      </c>
      <c r="L47" s="12" t="str">
        <f>IF(AND(B47&gt;=18, B47&lt;=30),
    IF(N47&gt;=3, "Young Professionals", "Other"),
    IF(AND(B47&gt;=60, N47&gt;=3),
        "Wealthy Seniors",
        IF(AND(B47&gt;=31, B47&lt;=59, N47&gt;=2),
            "Moderately Engaged Prof.",
            IF(AND(B47&gt;=60, N47&lt;2),
                "Low-Income Retirees", "Other"))))</f>
        <v>Moderately Engaged Prof.</v>
      </c>
      <c r="M47" t="str">
        <f t="shared" si="1"/>
        <v>25-34</v>
      </c>
      <c r="N47" s="26">
        <f>H47 + I47</f>
        <v>4</v>
      </c>
      <c r="O47" s="26">
        <f t="shared" si="2"/>
        <v>53730.51263157896</v>
      </c>
    </row>
    <row r="48" spans="1:22" ht="18">
      <c r="A48" s="12">
        <v>47</v>
      </c>
      <c r="B48" s="12">
        <v>26</v>
      </c>
      <c r="C48" s="12">
        <v>36945.43</v>
      </c>
      <c r="D48" s="12" t="s">
        <v>7</v>
      </c>
      <c r="E48" s="12" t="s">
        <v>12</v>
      </c>
      <c r="F48" s="12" t="s">
        <v>14</v>
      </c>
      <c r="G48" s="12" t="s">
        <v>16</v>
      </c>
      <c r="H48" s="12">
        <v>2</v>
      </c>
      <c r="I48" s="12">
        <v>2</v>
      </c>
      <c r="J48" s="12">
        <v>1</v>
      </c>
      <c r="K48" s="12">
        <f t="shared" si="0"/>
        <v>46</v>
      </c>
      <c r="L48" s="12" t="str">
        <f>IF(AND(B48&gt;=18, B48&lt;=30),
    IF(N48&gt;=3, "Young Professionals", "Other"),
    IF(AND(B48&gt;=60, N48&gt;=3),
        "Wealthy Seniors",
        IF(AND(B48&gt;=31, B48&lt;=59, N48&gt;=2),
            "Moderately Engaged Prof.",
            IF(AND(B48&gt;=60, N48&lt;2),
                "Low-Income Retirees", "Other"))))</f>
        <v>Young Professionals</v>
      </c>
      <c r="M48" t="str">
        <f t="shared" si="1"/>
        <v>25-34</v>
      </c>
      <c r="N48" s="26">
        <f>H48 + I48</f>
        <v>4</v>
      </c>
      <c r="O48" s="26">
        <f t="shared" si="2"/>
        <v>50173.108</v>
      </c>
    </row>
    <row r="49" spans="1:15" ht="18">
      <c r="A49" s="12">
        <v>48</v>
      </c>
      <c r="B49" s="12">
        <v>43</v>
      </c>
      <c r="C49" s="12">
        <v>42400.35</v>
      </c>
      <c r="D49" s="12" t="s">
        <v>7</v>
      </c>
      <c r="E49" s="12" t="s">
        <v>9</v>
      </c>
      <c r="F49" s="12" t="s">
        <v>15</v>
      </c>
      <c r="G49" s="12" t="s">
        <v>16</v>
      </c>
      <c r="H49" s="12">
        <v>1</v>
      </c>
      <c r="I49" s="12">
        <v>2</v>
      </c>
      <c r="J49" s="12">
        <v>3</v>
      </c>
      <c r="K49" s="12">
        <f t="shared" si="0"/>
        <v>46</v>
      </c>
      <c r="L49" s="12" t="str">
        <f>IF(AND(B49&gt;=18, B49&lt;=30),
    IF(N49&gt;=3, "Young Professionals", "Other"),
    IF(AND(B49&gt;=60, N49&gt;=3),
        "Wealthy Seniors",
        IF(AND(B49&gt;=31, B49&lt;=59, N49&gt;=2),
            "Moderately Engaged Prof.",
            IF(AND(B49&gt;=60, N49&lt;2),
                "Low-Income Retirees", "Other"))))</f>
        <v>Moderately Engaged Prof.</v>
      </c>
      <c r="M49" t="str">
        <f t="shared" si="1"/>
        <v>35-44</v>
      </c>
      <c r="N49" s="26">
        <f>H49 + I49</f>
        <v>3</v>
      </c>
      <c r="O49" s="26">
        <f t="shared" si="2"/>
        <v>53730.51263157896</v>
      </c>
    </row>
    <row r="50" spans="1:15" ht="18">
      <c r="A50" s="12">
        <v>49</v>
      </c>
      <c r="B50" s="12">
        <v>19</v>
      </c>
      <c r="C50" s="12">
        <v>30350.74</v>
      </c>
      <c r="D50" s="12" t="s">
        <v>7</v>
      </c>
      <c r="E50" s="12" t="s">
        <v>12</v>
      </c>
      <c r="F50" s="12" t="s">
        <v>15</v>
      </c>
      <c r="G50" s="12" t="s">
        <v>16</v>
      </c>
      <c r="H50" s="12">
        <v>1</v>
      </c>
      <c r="I50" s="12">
        <v>2</v>
      </c>
      <c r="J50" s="12">
        <v>1</v>
      </c>
      <c r="K50" s="12">
        <f t="shared" si="0"/>
        <v>46</v>
      </c>
      <c r="L50" s="12" t="str">
        <f>IF(AND(B50&gt;=18, B50&lt;=30),
    IF(N50&gt;=3, "Young Professionals", "Other"),
    IF(AND(B50&gt;=60, N50&gt;=3),
        "Wealthy Seniors",
        IF(AND(B50&gt;=31, B50&lt;=59, N50&gt;=2),
            "Moderately Engaged Prof.",
            IF(AND(B50&gt;=60, N50&lt;2),
                "Low-Income Retirees", "Other"))))</f>
        <v>Young Professionals</v>
      </c>
      <c r="M50" t="str">
        <f t="shared" si="1"/>
        <v>18-24</v>
      </c>
      <c r="N50" s="26">
        <f>H50 + I50</f>
        <v>3</v>
      </c>
      <c r="O50" s="26">
        <f t="shared" si="2"/>
        <v>50173.108</v>
      </c>
    </row>
    <row r="51" spans="1:15" ht="18">
      <c r="A51" s="12">
        <v>50</v>
      </c>
      <c r="B51" s="12">
        <v>37</v>
      </c>
      <c r="C51" s="12">
        <v>94154.95</v>
      </c>
      <c r="D51" s="12" t="s">
        <v>7</v>
      </c>
      <c r="E51" s="12" t="s">
        <v>9</v>
      </c>
      <c r="F51" s="12" t="s">
        <v>14</v>
      </c>
      <c r="G51" s="12" t="s">
        <v>16</v>
      </c>
      <c r="H51" s="12">
        <v>2</v>
      </c>
      <c r="I51" s="12">
        <v>2</v>
      </c>
      <c r="J51" s="12">
        <v>1</v>
      </c>
      <c r="K51" s="12">
        <f t="shared" si="0"/>
        <v>46</v>
      </c>
      <c r="L51" s="12" t="str">
        <f>IF(AND(B51&gt;=18, B51&lt;=30),
    IF(N51&gt;=3, "Young Professionals", "Other"),
    IF(AND(B51&gt;=60, N51&gt;=3),
        "Wealthy Seniors",
        IF(AND(B51&gt;=31, B51&lt;=59, N51&gt;=2),
            "Moderately Engaged Prof.",
            IF(AND(B51&gt;=60, N51&lt;2),
                "Low-Income Retirees", "Other"))))</f>
        <v>Moderately Engaged Prof.</v>
      </c>
      <c r="M51" t="str">
        <f t="shared" si="1"/>
        <v>35-44</v>
      </c>
      <c r="N51" s="26">
        <f>H51 + I51</f>
        <v>4</v>
      </c>
      <c r="O51" s="26">
        <f t="shared" si="2"/>
        <v>53730.51263157896</v>
      </c>
    </row>
    <row r="52" spans="1:15" ht="18">
      <c r="A52" s="12">
        <v>51</v>
      </c>
      <c r="B52" s="12">
        <v>45</v>
      </c>
      <c r="C52" s="12">
        <v>33556.01</v>
      </c>
      <c r="D52" s="12" t="s">
        <v>7</v>
      </c>
      <c r="E52" s="12" t="s">
        <v>10</v>
      </c>
      <c r="F52" s="12" t="s">
        <v>13</v>
      </c>
      <c r="G52" s="12" t="s">
        <v>18</v>
      </c>
      <c r="H52" s="12">
        <v>0</v>
      </c>
      <c r="I52" s="12">
        <v>1</v>
      </c>
      <c r="J52" s="12">
        <v>0</v>
      </c>
      <c r="K52" s="12">
        <f t="shared" si="0"/>
        <v>46</v>
      </c>
      <c r="L52" s="12" t="str">
        <f>IF(AND(B52&gt;=18, B52&lt;=30),
    IF(N52&gt;=3, "Young Professionals", "Other"),
    IF(AND(B52&gt;=60, N52&gt;=3),
        "Wealthy Seniors",
        IF(AND(B52&gt;=31, B52&lt;=59, N52&gt;=2),
            "Moderately Engaged Prof.",
            IF(AND(B52&gt;=60, N52&lt;2),
                "Low-Income Retirees", "Other"))))</f>
        <v>Other</v>
      </c>
      <c r="M52" t="str">
        <f t="shared" si="1"/>
        <v>45-54</v>
      </c>
      <c r="N52" s="26">
        <f>H52 + I52</f>
        <v>1</v>
      </c>
      <c r="O52" s="26">
        <f t="shared" si="2"/>
        <v>42046.358571428573</v>
      </c>
    </row>
    <row r="53" spans="1:15" ht="18">
      <c r="A53" s="12">
        <v>52</v>
      </c>
      <c r="B53" s="12">
        <v>64</v>
      </c>
      <c r="C53" s="12">
        <v>63723.26</v>
      </c>
      <c r="D53" s="12" t="s">
        <v>7</v>
      </c>
      <c r="E53" s="12" t="s">
        <v>12</v>
      </c>
      <c r="F53" s="12" t="s">
        <v>15</v>
      </c>
      <c r="G53" s="12" t="s">
        <v>16</v>
      </c>
      <c r="H53" s="12">
        <v>1</v>
      </c>
      <c r="I53" s="12">
        <v>2</v>
      </c>
      <c r="J53" s="12">
        <v>3</v>
      </c>
      <c r="K53" s="12">
        <f t="shared" si="0"/>
        <v>46</v>
      </c>
      <c r="L53" s="12" t="str">
        <f>IF(AND(B53&gt;=18, B53&lt;=30),
    IF(N53&gt;=3, "Young Professionals", "Other"),
    IF(AND(B53&gt;=60, N53&gt;=3),
        "Wealthy Seniors",
        IF(AND(B53&gt;=31, B53&lt;=59, N53&gt;=2),
            "Moderately Engaged Prof.",
            IF(AND(B53&gt;=60, N53&lt;2),
                "Low-Income Retirees", "Other"))))</f>
        <v>Wealthy Seniors</v>
      </c>
      <c r="M53" t="str">
        <f t="shared" si="1"/>
        <v>55+</v>
      </c>
      <c r="N53" s="26">
        <f>H53 + I53</f>
        <v>3</v>
      </c>
      <c r="O53" s="26">
        <f t="shared" si="2"/>
        <v>54385.223333333328</v>
      </c>
    </row>
    <row r="54" spans="1:15" ht="18">
      <c r="A54" s="12">
        <v>53</v>
      </c>
      <c r="B54" s="12">
        <v>24</v>
      </c>
      <c r="C54" s="12">
        <v>40009.089999999997</v>
      </c>
      <c r="D54" s="12" t="s">
        <v>8</v>
      </c>
      <c r="E54" s="12" t="s">
        <v>10</v>
      </c>
      <c r="F54" s="12" t="s">
        <v>15</v>
      </c>
      <c r="G54" s="12" t="s">
        <v>16</v>
      </c>
      <c r="H54" s="12">
        <v>1</v>
      </c>
      <c r="I54" s="12">
        <v>2</v>
      </c>
      <c r="J54" s="12">
        <v>1</v>
      </c>
      <c r="K54" s="12">
        <f t="shared" si="0"/>
        <v>46</v>
      </c>
      <c r="L54" s="12" t="str">
        <f>IF(AND(B54&gt;=18, B54&lt;=30),
    IF(N54&gt;=3, "Young Professionals", "Other"),
    IF(AND(B54&gt;=60, N54&gt;=3),
        "Wealthy Seniors",
        IF(AND(B54&gt;=31, B54&lt;=59, N54&gt;=2),
            "Moderately Engaged Prof.",
            IF(AND(B54&gt;=60, N54&lt;2),
                "Low-Income Retirees", "Other"))))</f>
        <v>Young Professionals</v>
      </c>
      <c r="M54" t="str">
        <f t="shared" si="1"/>
        <v>18-24</v>
      </c>
      <c r="N54" s="26">
        <f>H54 + I54</f>
        <v>3</v>
      </c>
      <c r="O54" s="26">
        <f t="shared" si="2"/>
        <v>50173.108</v>
      </c>
    </row>
    <row r="55" spans="1:15" ht="18">
      <c r="A55" s="12">
        <v>54</v>
      </c>
      <c r="B55" s="12">
        <v>61</v>
      </c>
      <c r="C55" s="12">
        <v>42293.19</v>
      </c>
      <c r="D55" s="12" t="s">
        <v>7</v>
      </c>
      <c r="E55" s="12" t="s">
        <v>12</v>
      </c>
      <c r="F55" s="12" t="s">
        <v>15</v>
      </c>
      <c r="G55" s="12" t="s">
        <v>17</v>
      </c>
      <c r="H55" s="12">
        <v>1</v>
      </c>
      <c r="I55" s="12">
        <v>0</v>
      </c>
      <c r="J55" s="12">
        <v>2</v>
      </c>
      <c r="K55" s="12">
        <f t="shared" si="0"/>
        <v>46</v>
      </c>
      <c r="L55" s="12" t="str">
        <f>IF(AND(B55&gt;=18, B55&lt;=30),
    IF(N55&gt;=3, "Young Professionals", "Other"),
    IF(AND(B55&gt;=60, N55&gt;=3),
        "Wealthy Seniors",
        IF(AND(B55&gt;=31, B55&lt;=59, N55&gt;=2),
            "Moderately Engaged Prof.",
            IF(AND(B55&gt;=60, N55&lt;2),
                "Low-Income Retirees", "Other"))))</f>
        <v>Low-Income Retirees</v>
      </c>
      <c r="M55" t="str">
        <f t="shared" si="1"/>
        <v>55+</v>
      </c>
      <c r="N55" s="26">
        <f>H55 + I55</f>
        <v>1</v>
      </c>
      <c r="O55" s="26" t="s">
        <v>75</v>
      </c>
    </row>
    <row r="56" spans="1:15" ht="18">
      <c r="A56" s="12">
        <v>55</v>
      </c>
      <c r="B56" s="12">
        <v>25</v>
      </c>
      <c r="C56" s="12">
        <v>54519.839999999997</v>
      </c>
      <c r="D56" s="12" t="s">
        <v>8</v>
      </c>
      <c r="E56" s="12" t="s">
        <v>10</v>
      </c>
      <c r="F56" s="12" t="s">
        <v>14</v>
      </c>
      <c r="G56" s="12" t="s">
        <v>16</v>
      </c>
      <c r="H56" s="12">
        <v>2</v>
      </c>
      <c r="I56" s="12">
        <v>2</v>
      </c>
      <c r="J56" s="12">
        <v>1</v>
      </c>
      <c r="K56" s="12">
        <f t="shared" si="0"/>
        <v>46</v>
      </c>
      <c r="L56" s="12" t="str">
        <f>IF(AND(B56&gt;=18, B56&lt;=30),
    IF(N56&gt;=3, "Young Professionals", "Other"),
    IF(AND(B56&gt;=60, N56&gt;=3),
        "Wealthy Seniors",
        IF(AND(B56&gt;=31, B56&lt;=59, N56&gt;=2),
            "Moderately Engaged Prof.",
            IF(AND(B56&gt;=60, N56&lt;2),
                "Low-Income Retirees", "Other"))))</f>
        <v>Young Professionals</v>
      </c>
      <c r="M56" t="str">
        <f t="shared" si="1"/>
        <v>25-34</v>
      </c>
      <c r="N56" s="26">
        <f>H56 + I56</f>
        <v>4</v>
      </c>
      <c r="O56" s="26">
        <f t="shared" si="2"/>
        <v>50173.108</v>
      </c>
    </row>
    <row r="57" spans="1:15" ht="18">
      <c r="A57" s="12">
        <v>56</v>
      </c>
      <c r="B57" s="12">
        <v>64</v>
      </c>
      <c r="C57" s="12">
        <v>28122.25</v>
      </c>
      <c r="D57" s="12" t="s">
        <v>8</v>
      </c>
      <c r="E57" s="12" t="s">
        <v>10</v>
      </c>
      <c r="F57" s="12" t="s">
        <v>14</v>
      </c>
      <c r="G57" s="12" t="s">
        <v>17</v>
      </c>
      <c r="H57" s="12">
        <v>2</v>
      </c>
      <c r="I57" s="12">
        <v>0</v>
      </c>
      <c r="J57" s="12">
        <v>3</v>
      </c>
      <c r="K57" s="12">
        <f t="shared" si="0"/>
        <v>46</v>
      </c>
      <c r="L57" s="12" t="str">
        <f>IF(AND(B57&gt;=18, B57&lt;=30),
    IF(N57&gt;=3, "Young Professionals", "Other"),
    IF(AND(B57&gt;=60, N57&gt;=3),
        "Wealthy Seniors",
        IF(AND(B57&gt;=31, B57&lt;=59, N57&gt;=2),
            "Moderately Engaged Prof.",
            IF(AND(B57&gt;=60, N57&lt;2),
                "Low-Income Retirees", "Other"))))</f>
        <v>Other</v>
      </c>
      <c r="M57" t="str">
        <f t="shared" si="1"/>
        <v>55+</v>
      </c>
      <c r="N57" s="26">
        <f>H57 + I57</f>
        <v>2</v>
      </c>
      <c r="O57" s="26">
        <f t="shared" si="2"/>
        <v>42046.358571428573</v>
      </c>
    </row>
    <row r="58" spans="1:15" ht="18">
      <c r="A58" s="12">
        <v>57</v>
      </c>
      <c r="B58" s="12">
        <v>52</v>
      </c>
      <c r="C58" s="12">
        <v>40058.93</v>
      </c>
      <c r="D58" s="12" t="s">
        <v>7</v>
      </c>
      <c r="E58" s="12" t="s">
        <v>12</v>
      </c>
      <c r="F58" s="12" t="s">
        <v>14</v>
      </c>
      <c r="G58" s="12" t="s">
        <v>18</v>
      </c>
      <c r="H58" s="12">
        <v>2</v>
      </c>
      <c r="I58" s="12">
        <v>1</v>
      </c>
      <c r="J58" s="12">
        <v>3</v>
      </c>
      <c r="K58" s="12">
        <f t="shared" si="0"/>
        <v>46</v>
      </c>
      <c r="L58" s="12" t="str">
        <f>IF(AND(B58&gt;=18, B58&lt;=30),
    IF(N58&gt;=3, "Young Professionals", "Other"),
    IF(AND(B58&gt;=60, N58&gt;=3),
        "Wealthy Seniors",
        IF(AND(B58&gt;=31, B58&lt;=59, N58&gt;=2),
            "Moderately Engaged Prof.",
            IF(AND(B58&gt;=60, N58&lt;2),
                "Low-Income Retirees", "Other"))))</f>
        <v>Moderately Engaged Prof.</v>
      </c>
      <c r="M58" t="str">
        <f t="shared" si="1"/>
        <v>45-54</v>
      </c>
      <c r="N58" s="26">
        <f>H58 + I58</f>
        <v>3</v>
      </c>
      <c r="O58" s="26">
        <f t="shared" si="2"/>
        <v>53730.51263157896</v>
      </c>
    </row>
    <row r="59" spans="1:15" ht="18">
      <c r="A59" s="12">
        <v>58</v>
      </c>
      <c r="B59" s="12">
        <v>31</v>
      </c>
      <c r="C59" s="12">
        <v>47802.91</v>
      </c>
      <c r="D59" s="12" t="s">
        <v>8</v>
      </c>
      <c r="E59" s="12" t="s">
        <v>12</v>
      </c>
      <c r="F59" s="12" t="s">
        <v>14</v>
      </c>
      <c r="G59" s="12" t="s">
        <v>16</v>
      </c>
      <c r="H59" s="12">
        <v>2</v>
      </c>
      <c r="I59" s="12">
        <v>2</v>
      </c>
      <c r="J59" s="12">
        <v>1</v>
      </c>
      <c r="K59" s="12">
        <f t="shared" si="0"/>
        <v>46</v>
      </c>
      <c r="L59" s="12" t="str">
        <f>IF(AND(B59&gt;=18, B59&lt;=30),
    IF(N59&gt;=3, "Young Professionals", "Other"),
    IF(AND(B59&gt;=60, N59&gt;=3),
        "Wealthy Seniors",
        IF(AND(B59&gt;=31, B59&lt;=59, N59&gt;=2),
            "Moderately Engaged Prof.",
            IF(AND(B59&gt;=60, N59&lt;2),
                "Low-Income Retirees", "Other"))))</f>
        <v>Moderately Engaged Prof.</v>
      </c>
      <c r="M59" t="str">
        <f t="shared" si="1"/>
        <v>25-34</v>
      </c>
      <c r="N59" s="26">
        <f>H59 + I59</f>
        <v>4</v>
      </c>
      <c r="O59" s="26">
        <f t="shared" si="2"/>
        <v>53730.51263157896</v>
      </c>
    </row>
    <row r="60" spans="1:15" ht="18">
      <c r="A60" s="12">
        <v>59</v>
      </c>
      <c r="B60" s="12">
        <v>34</v>
      </c>
      <c r="C60" s="12">
        <v>37309.74</v>
      </c>
      <c r="D60" s="12" t="s">
        <v>7</v>
      </c>
      <c r="E60" s="12" t="s">
        <v>12</v>
      </c>
      <c r="F60" s="12" t="s">
        <v>14</v>
      </c>
      <c r="G60" s="12" t="s">
        <v>17</v>
      </c>
      <c r="H60" s="12">
        <v>2</v>
      </c>
      <c r="I60" s="12">
        <v>0</v>
      </c>
      <c r="J60" s="12">
        <v>2</v>
      </c>
      <c r="K60" s="12">
        <f t="shared" si="0"/>
        <v>46</v>
      </c>
      <c r="L60" s="12" t="str">
        <f>IF(AND(B60&gt;=18, B60&lt;=30),
    IF(N60&gt;=3, "Young Professionals", "Other"),
    IF(AND(B60&gt;=60, N60&gt;=3),
        "Wealthy Seniors",
        IF(AND(B60&gt;=31, B60&lt;=59, N60&gt;=2),
            "Moderately Engaged Prof.",
            IF(AND(B60&gt;=60, N60&lt;2),
                "Low-Income Retirees", "Other"))))</f>
        <v>Moderately Engaged Prof.</v>
      </c>
      <c r="M60" t="str">
        <f t="shared" si="1"/>
        <v>25-34</v>
      </c>
      <c r="N60" s="26">
        <f>H60 + I60</f>
        <v>2</v>
      </c>
      <c r="O60" s="26">
        <f t="shared" si="2"/>
        <v>53730.51263157896</v>
      </c>
    </row>
    <row r="61" spans="1:15" ht="18">
      <c r="A61" s="12">
        <v>60</v>
      </c>
      <c r="B61" s="12">
        <v>53</v>
      </c>
      <c r="C61" s="12">
        <v>37662.660000000003</v>
      </c>
      <c r="D61" s="12" t="s">
        <v>8</v>
      </c>
      <c r="E61" s="12" t="s">
        <v>11</v>
      </c>
      <c r="F61" s="12" t="s">
        <v>13</v>
      </c>
      <c r="G61" s="12" t="s">
        <v>17</v>
      </c>
      <c r="H61" s="12">
        <v>0</v>
      </c>
      <c r="I61" s="12">
        <v>0</v>
      </c>
      <c r="J61" s="12">
        <v>0</v>
      </c>
      <c r="K61" s="12">
        <f t="shared" si="0"/>
        <v>46</v>
      </c>
      <c r="L61" s="12" t="str">
        <f>IF(AND(B61&gt;=18, B61&lt;=30),
    IF(N61&gt;=3, "Young Professionals", "Other"),
    IF(AND(B61&gt;=60, N61&gt;=3),
        "Wealthy Seniors",
        IF(AND(B61&gt;=31, B61&lt;=59, N61&gt;=2),
            "Moderately Engaged Prof.",
            IF(AND(B61&gt;=60, N61&lt;2),
                "Low-Income Retirees", "Other"))))</f>
        <v>Other</v>
      </c>
      <c r="M61" t="str">
        <f t="shared" si="1"/>
        <v>45-54</v>
      </c>
      <c r="N61" s="26">
        <f>H61 + I61</f>
        <v>0</v>
      </c>
      <c r="O61" s="26">
        <f t="shared" si="2"/>
        <v>42046.358571428573</v>
      </c>
    </row>
    <row r="62" spans="1:15" ht="18">
      <c r="A62" s="12">
        <v>61</v>
      </c>
      <c r="B62" s="12">
        <v>57</v>
      </c>
      <c r="C62" s="12">
        <v>66300.91</v>
      </c>
      <c r="D62" s="12" t="s">
        <v>7</v>
      </c>
      <c r="E62" s="12" t="s">
        <v>9</v>
      </c>
      <c r="F62" s="12" t="s">
        <v>13</v>
      </c>
      <c r="G62" s="12" t="s">
        <v>18</v>
      </c>
      <c r="H62" s="12">
        <v>0</v>
      </c>
      <c r="I62" s="12">
        <v>1</v>
      </c>
      <c r="J62" s="12">
        <v>0</v>
      </c>
      <c r="K62" s="12">
        <f t="shared" si="0"/>
        <v>46</v>
      </c>
      <c r="L62" s="12" t="str">
        <f>IF(AND(B62&gt;=18, B62&lt;=30),
    IF(N62&gt;=3, "Young Professionals", "Other"),
    IF(AND(B62&gt;=60, N62&gt;=3),
        "Wealthy Seniors",
        IF(AND(B62&gt;=31, B62&lt;=59, N62&gt;=2),
            "Moderately Engaged Prof.",
            IF(AND(B62&gt;=60, N62&lt;2),
                "Low-Income Retirees", "Other"))))</f>
        <v>Other</v>
      </c>
      <c r="M62" t="str">
        <f t="shared" si="1"/>
        <v>55+</v>
      </c>
      <c r="N62" s="26">
        <f>H62 + I62</f>
        <v>1</v>
      </c>
      <c r="O62" s="26">
        <f t="shared" si="2"/>
        <v>42046.358571428573</v>
      </c>
    </row>
    <row r="63" spans="1:15" ht="18">
      <c r="A63" s="12">
        <v>62</v>
      </c>
      <c r="B63" s="12">
        <v>21</v>
      </c>
      <c r="C63" s="12">
        <v>65074.8</v>
      </c>
      <c r="D63" s="12" t="s">
        <v>8</v>
      </c>
      <c r="E63" s="12" t="s">
        <v>11</v>
      </c>
      <c r="F63" s="12" t="s">
        <v>14</v>
      </c>
      <c r="G63" s="12" t="s">
        <v>16</v>
      </c>
      <c r="H63" s="12">
        <v>2</v>
      </c>
      <c r="I63" s="12">
        <v>2</v>
      </c>
      <c r="J63" s="12">
        <v>1</v>
      </c>
      <c r="K63" s="12">
        <f t="shared" si="0"/>
        <v>46</v>
      </c>
      <c r="L63" s="12" t="str">
        <f>IF(AND(B63&gt;=18, B63&lt;=30),
    IF(N63&gt;=3, "Young Professionals", "Other"),
    IF(AND(B63&gt;=60, N63&gt;=3),
        "Wealthy Seniors",
        IF(AND(B63&gt;=31, B63&lt;=59, N63&gt;=2),
            "Moderately Engaged Prof.",
            IF(AND(B63&gt;=60, N63&lt;2),
                "Low-Income Retirees", "Other"))))</f>
        <v>Young Professionals</v>
      </c>
      <c r="M63" t="str">
        <f t="shared" si="1"/>
        <v>18-24</v>
      </c>
      <c r="N63" s="26">
        <f>H63 + I63</f>
        <v>4</v>
      </c>
      <c r="O63" s="26">
        <f t="shared" si="2"/>
        <v>50173.108</v>
      </c>
    </row>
    <row r="64" spans="1:15" ht="18">
      <c r="A64" s="12">
        <v>63</v>
      </c>
      <c r="B64" s="12">
        <v>19</v>
      </c>
      <c r="C64" s="12">
        <v>43373.51</v>
      </c>
      <c r="D64" s="12" t="s">
        <v>7</v>
      </c>
      <c r="E64" s="12" t="s">
        <v>11</v>
      </c>
      <c r="F64" s="12" t="s">
        <v>15</v>
      </c>
      <c r="G64" s="12" t="s">
        <v>16</v>
      </c>
      <c r="H64" s="12">
        <v>1</v>
      </c>
      <c r="I64" s="12">
        <v>2</v>
      </c>
      <c r="J64" s="12">
        <v>1</v>
      </c>
      <c r="K64" s="12">
        <f t="shared" si="0"/>
        <v>46</v>
      </c>
      <c r="L64" s="12" t="str">
        <f>IF(AND(B64&gt;=18, B64&lt;=30),
    IF(N64&gt;=3, "Young Professionals", "Other"),
    IF(AND(B64&gt;=60, N64&gt;=3),
        "Wealthy Seniors",
        IF(AND(B64&gt;=31, B64&lt;=59, N64&gt;=2),
            "Moderately Engaged Prof.",
            IF(AND(B64&gt;=60, N64&lt;2),
                "Low-Income Retirees", "Other"))))</f>
        <v>Young Professionals</v>
      </c>
      <c r="M64" t="str">
        <f t="shared" si="1"/>
        <v>18-24</v>
      </c>
      <c r="N64" s="26">
        <f>H64 + I64</f>
        <v>3</v>
      </c>
      <c r="O64" s="26">
        <f t="shared" si="2"/>
        <v>50173.108</v>
      </c>
    </row>
    <row r="65" spans="1:15" ht="18">
      <c r="A65" s="12">
        <v>64</v>
      </c>
      <c r="B65" s="12">
        <v>23</v>
      </c>
      <c r="C65" s="12">
        <v>48737.52</v>
      </c>
      <c r="D65" s="12" t="s">
        <v>7</v>
      </c>
      <c r="E65" s="12" t="s">
        <v>10</v>
      </c>
      <c r="F65" s="12" t="s">
        <v>14</v>
      </c>
      <c r="G65" s="12" t="s">
        <v>17</v>
      </c>
      <c r="H65" s="12">
        <v>2</v>
      </c>
      <c r="I65" s="12">
        <v>0</v>
      </c>
      <c r="J65" s="12">
        <v>2</v>
      </c>
      <c r="K65" s="12">
        <f t="shared" si="0"/>
        <v>46</v>
      </c>
      <c r="L65" s="12" t="str">
        <f>IF(AND(B65&gt;=18, B65&lt;=30),
    IF(N65&gt;=3, "Young Professionals", "Other"),
    IF(AND(B65&gt;=60, N65&gt;=3),
        "Wealthy Seniors",
        IF(AND(B65&gt;=31, B65&lt;=59, N65&gt;=2),
            "Moderately Engaged Prof.",
            IF(AND(B65&gt;=60, N65&lt;2),
                "Low-Income Retirees", "Other"))))</f>
        <v>Other</v>
      </c>
      <c r="M65" t="str">
        <f t="shared" si="1"/>
        <v>18-24</v>
      </c>
      <c r="N65" s="26">
        <f>H65 + I65</f>
        <v>2</v>
      </c>
      <c r="O65" s="26">
        <f t="shared" si="2"/>
        <v>42046.358571428573</v>
      </c>
    </row>
    <row r="66" spans="1:15" ht="18">
      <c r="A66" s="12">
        <v>65</v>
      </c>
      <c r="B66" s="12">
        <v>59</v>
      </c>
      <c r="C66" s="12">
        <v>68555.240000000005</v>
      </c>
      <c r="D66" s="12" t="s">
        <v>7</v>
      </c>
      <c r="E66" s="12" t="s">
        <v>12</v>
      </c>
      <c r="F66" s="12" t="s">
        <v>13</v>
      </c>
      <c r="G66" s="12" t="s">
        <v>16</v>
      </c>
      <c r="H66" s="12">
        <v>0</v>
      </c>
      <c r="I66" s="12">
        <v>2</v>
      </c>
      <c r="J66" s="12">
        <v>0</v>
      </c>
      <c r="K66" s="12">
        <f t="shared" si="0"/>
        <v>46</v>
      </c>
      <c r="L66" s="12" t="str">
        <f>IF(AND(B66&gt;=18, B66&lt;=30),
    IF(N66&gt;=3, "Young Professionals", "Other"),
    IF(AND(B66&gt;=60, N66&gt;=3),
        "Wealthy Seniors",
        IF(AND(B66&gt;=31, B66&lt;=59, N66&gt;=2),
            "Moderately Engaged Prof.",
            IF(AND(B66&gt;=60, N66&lt;2),
                "Low-Income Retirees", "Other"))))</f>
        <v>Moderately Engaged Prof.</v>
      </c>
      <c r="M66" t="str">
        <f t="shared" si="1"/>
        <v>55+</v>
      </c>
      <c r="N66" s="26">
        <f>H66 + I66</f>
        <v>2</v>
      </c>
      <c r="O66" s="26">
        <f t="shared" si="2"/>
        <v>53730.51263157896</v>
      </c>
    </row>
    <row r="67" spans="1:15" ht="18">
      <c r="A67" s="12">
        <v>66</v>
      </c>
      <c r="B67" s="12">
        <v>21</v>
      </c>
      <c r="C67" s="12">
        <v>28602.82</v>
      </c>
      <c r="D67" s="12" t="s">
        <v>7</v>
      </c>
      <c r="E67" s="12" t="s">
        <v>9</v>
      </c>
      <c r="F67" s="12" t="s">
        <v>13</v>
      </c>
      <c r="G67" s="12" t="s">
        <v>17</v>
      </c>
      <c r="H67" s="12">
        <v>0</v>
      </c>
      <c r="I67" s="12">
        <v>0</v>
      </c>
      <c r="J67" s="12">
        <v>2</v>
      </c>
      <c r="K67" s="12">
        <f t="shared" ref="K67:K101" si="3">COUNTIF(G$2:G$101,"Often Engaged")/COUNTA(G$2:G$101)*100</f>
        <v>46</v>
      </c>
      <c r="L67" s="12" t="str">
        <f>IF(AND(B67&gt;=18, B67&lt;=30),
    IF(N67&gt;=3, "Young Professionals", "Other"),
    IF(AND(B67&gt;=60, N67&gt;=3),
        "Wealthy Seniors",
        IF(AND(B67&gt;=31, B67&lt;=59, N67&gt;=2),
            "Moderately Engaged Prof.",
            IF(AND(B67&gt;=60, N67&lt;2),
                "Low-Income Retirees", "Other"))))</f>
        <v>Other</v>
      </c>
      <c r="M67" t="str">
        <f t="shared" ref="M67:M101" si="4">IF(B67&lt;25,"18-24",IF(B67&lt;35,"25-34",IF(B67&lt;45,"35-44",IF(B67&lt;55,"45-54","55+"))))</f>
        <v>18-24</v>
      </c>
      <c r="N67" s="26">
        <f>H67 + I67</f>
        <v>0</v>
      </c>
      <c r="O67" s="26">
        <f t="shared" ref="O67:O101" si="5">AVERAGEIFS(C:C, L:L, L67, N:N, "&gt;="&amp;2)</f>
        <v>42046.358571428573</v>
      </c>
    </row>
    <row r="68" spans="1:15" ht="18">
      <c r="A68" s="12">
        <v>67</v>
      </c>
      <c r="B68" s="12">
        <v>46</v>
      </c>
      <c r="C68" s="12">
        <v>55070.34</v>
      </c>
      <c r="D68" s="12" t="s">
        <v>7</v>
      </c>
      <c r="E68" s="12" t="s">
        <v>10</v>
      </c>
      <c r="F68" s="12" t="s">
        <v>15</v>
      </c>
      <c r="G68" s="12" t="s">
        <v>16</v>
      </c>
      <c r="H68" s="12">
        <v>1</v>
      </c>
      <c r="I68" s="12">
        <v>2</v>
      </c>
      <c r="J68" s="12">
        <v>3</v>
      </c>
      <c r="K68" s="12">
        <f t="shared" si="3"/>
        <v>46</v>
      </c>
      <c r="L68" s="12" t="str">
        <f>IF(AND(B68&gt;=18, B68&lt;=30),
    IF(N68&gt;=3, "Young Professionals", "Other"),
    IF(AND(B68&gt;=60, N68&gt;=3),
        "Wealthy Seniors",
        IF(AND(B68&gt;=31, B68&lt;=59, N68&gt;=2),
            "Moderately Engaged Prof.",
            IF(AND(B68&gt;=60, N68&lt;2),
                "Low-Income Retirees", "Other"))))</f>
        <v>Moderately Engaged Prof.</v>
      </c>
      <c r="M68" t="str">
        <f t="shared" si="4"/>
        <v>45-54</v>
      </c>
      <c r="N68" s="26">
        <f>H68 + I68</f>
        <v>3</v>
      </c>
      <c r="O68" s="26">
        <f t="shared" si="5"/>
        <v>53730.51263157896</v>
      </c>
    </row>
    <row r="69" spans="1:15" ht="18">
      <c r="A69" s="12">
        <v>68</v>
      </c>
      <c r="B69" s="12">
        <v>35</v>
      </c>
      <c r="C69" s="12">
        <v>79618.570000000007</v>
      </c>
      <c r="D69" s="12" t="s">
        <v>8</v>
      </c>
      <c r="E69" s="12" t="s">
        <v>11</v>
      </c>
      <c r="F69" s="12" t="s">
        <v>13</v>
      </c>
      <c r="G69" s="12" t="s">
        <v>17</v>
      </c>
      <c r="H69" s="12">
        <v>0</v>
      </c>
      <c r="I69" s="12">
        <v>0</v>
      </c>
      <c r="J69" s="12">
        <v>2</v>
      </c>
      <c r="K69" s="12">
        <f t="shared" si="3"/>
        <v>46</v>
      </c>
      <c r="L69" s="12" t="str">
        <f>IF(AND(B69&gt;=18, B69&lt;=30),
    IF(N69&gt;=3, "Young Professionals", "Other"),
    IF(AND(B69&gt;=60, N69&gt;=3),
        "Wealthy Seniors",
        IF(AND(B69&gt;=31, B69&lt;=59, N69&gt;=2),
            "Moderately Engaged Prof.",
            IF(AND(B69&gt;=60, N69&lt;2),
                "Low-Income Retirees", "Other"))))</f>
        <v>Other</v>
      </c>
      <c r="M69" t="str">
        <f t="shared" si="4"/>
        <v>35-44</v>
      </c>
      <c r="N69" s="26">
        <f>H69 + I69</f>
        <v>0</v>
      </c>
      <c r="O69" s="26">
        <f t="shared" si="5"/>
        <v>42046.358571428573</v>
      </c>
    </row>
    <row r="70" spans="1:15" ht="18">
      <c r="A70" s="12">
        <v>69</v>
      </c>
      <c r="B70" s="12">
        <v>43</v>
      </c>
      <c r="C70" s="12">
        <v>79475.520000000004</v>
      </c>
      <c r="D70" s="12" t="s">
        <v>8</v>
      </c>
      <c r="E70" s="12" t="s">
        <v>12</v>
      </c>
      <c r="F70" s="12" t="s">
        <v>14</v>
      </c>
      <c r="G70" s="12" t="s">
        <v>16</v>
      </c>
      <c r="H70" s="12">
        <v>2</v>
      </c>
      <c r="I70" s="12">
        <v>2</v>
      </c>
      <c r="J70" s="12">
        <v>1</v>
      </c>
      <c r="K70" s="12">
        <f t="shared" si="3"/>
        <v>46</v>
      </c>
      <c r="L70" s="12" t="str">
        <f>IF(AND(B70&gt;=18, B70&lt;=30),
    IF(N70&gt;=3, "Young Professionals", "Other"),
    IF(AND(B70&gt;=60, N70&gt;=3),
        "Wealthy Seniors",
        IF(AND(B70&gt;=31, B70&lt;=59, N70&gt;=2),
            "Moderately Engaged Prof.",
            IF(AND(B70&gt;=60, N70&lt;2),
                "Low-Income Retirees", "Other"))))</f>
        <v>Moderately Engaged Prof.</v>
      </c>
      <c r="M70" t="str">
        <f t="shared" si="4"/>
        <v>35-44</v>
      </c>
      <c r="N70" s="26">
        <f>H70 + I70</f>
        <v>4</v>
      </c>
      <c r="O70" s="26">
        <f t="shared" si="5"/>
        <v>53730.51263157896</v>
      </c>
    </row>
    <row r="71" spans="1:15" ht="18">
      <c r="A71" s="12">
        <v>70</v>
      </c>
      <c r="B71" s="12">
        <v>61</v>
      </c>
      <c r="C71" s="12">
        <v>20901.330000000002</v>
      </c>
      <c r="D71" s="12" t="s">
        <v>8</v>
      </c>
      <c r="E71" s="12" t="s">
        <v>10</v>
      </c>
      <c r="F71" s="12" t="s">
        <v>15</v>
      </c>
      <c r="G71" s="12" t="s">
        <v>18</v>
      </c>
      <c r="H71" s="12">
        <v>1</v>
      </c>
      <c r="I71" s="12">
        <v>1</v>
      </c>
      <c r="J71" s="12">
        <v>3</v>
      </c>
      <c r="K71" s="12">
        <f t="shared" si="3"/>
        <v>46</v>
      </c>
      <c r="L71" s="12" t="str">
        <f>IF(AND(B71&gt;=18, B71&lt;=30),
    IF(N71&gt;=3, "Young Professionals", "Other"),
    IF(AND(B71&gt;=60, N71&gt;=3),
        "Wealthy Seniors",
        IF(AND(B71&gt;=31, B71&lt;=59, N71&gt;=2),
            "Moderately Engaged Prof.",
            IF(AND(B71&gt;=60, N71&lt;2),
                "Low-Income Retirees", "Other"))))</f>
        <v>Other</v>
      </c>
      <c r="M71" t="str">
        <f t="shared" si="4"/>
        <v>55+</v>
      </c>
      <c r="N71" s="26">
        <f>H71 + I71</f>
        <v>2</v>
      </c>
      <c r="O71" s="26">
        <f t="shared" si="5"/>
        <v>42046.358571428573</v>
      </c>
    </row>
    <row r="72" spans="1:15" ht="18">
      <c r="A72" s="12">
        <v>71</v>
      </c>
      <c r="B72" s="12">
        <v>51</v>
      </c>
      <c r="C72" s="12">
        <v>38560.6</v>
      </c>
      <c r="D72" s="12" t="s">
        <v>7</v>
      </c>
      <c r="E72" s="12" t="s">
        <v>12</v>
      </c>
      <c r="F72" s="12" t="s">
        <v>14</v>
      </c>
      <c r="G72" s="12" t="s">
        <v>16</v>
      </c>
      <c r="H72" s="12">
        <v>2</v>
      </c>
      <c r="I72" s="12">
        <v>2</v>
      </c>
      <c r="J72" s="12">
        <v>3</v>
      </c>
      <c r="K72" s="12">
        <f t="shared" si="3"/>
        <v>46</v>
      </c>
      <c r="L72" s="12" t="str">
        <f>IF(AND(B72&gt;=18, B72&lt;=30),
    IF(N72&gt;=3, "Young Professionals", "Other"),
    IF(AND(B72&gt;=60, N72&gt;=3),
        "Wealthy Seniors",
        IF(AND(B72&gt;=31, B72&lt;=59, N72&gt;=2),
            "Moderately Engaged Prof.",
            IF(AND(B72&gt;=60, N72&lt;2),
                "Low-Income Retirees", "Other"))))</f>
        <v>Moderately Engaged Prof.</v>
      </c>
      <c r="M72" t="str">
        <f t="shared" si="4"/>
        <v>45-54</v>
      </c>
      <c r="N72" s="26">
        <f>H72 + I72</f>
        <v>4</v>
      </c>
      <c r="O72" s="26">
        <f t="shared" si="5"/>
        <v>53730.51263157896</v>
      </c>
    </row>
    <row r="73" spans="1:15" ht="18">
      <c r="A73" s="12">
        <v>72</v>
      </c>
      <c r="B73" s="12">
        <v>27</v>
      </c>
      <c r="C73" s="12">
        <v>52529.89</v>
      </c>
      <c r="D73" s="12" t="s">
        <v>8</v>
      </c>
      <c r="E73" s="12" t="s">
        <v>10</v>
      </c>
      <c r="F73" s="12" t="s">
        <v>14</v>
      </c>
      <c r="G73" s="12" t="s">
        <v>16</v>
      </c>
      <c r="H73" s="12">
        <v>2</v>
      </c>
      <c r="I73" s="12">
        <v>2</v>
      </c>
      <c r="J73" s="12">
        <v>1</v>
      </c>
      <c r="K73" s="12">
        <f t="shared" si="3"/>
        <v>46</v>
      </c>
      <c r="L73" s="12" t="str">
        <f>IF(AND(B73&gt;=18, B73&lt;=30),
    IF(N73&gt;=3, "Young Professionals", "Other"),
    IF(AND(B73&gt;=60, N73&gt;=3),
        "Wealthy Seniors",
        IF(AND(B73&gt;=31, B73&lt;=59, N73&gt;=2),
            "Moderately Engaged Prof.",
            IF(AND(B73&gt;=60, N73&lt;2),
                "Low-Income Retirees", "Other"))))</f>
        <v>Young Professionals</v>
      </c>
      <c r="M73" t="str">
        <f t="shared" si="4"/>
        <v>25-34</v>
      </c>
      <c r="N73" s="26">
        <f>H73 + I73</f>
        <v>4</v>
      </c>
      <c r="O73" s="26">
        <f t="shared" si="5"/>
        <v>50173.108</v>
      </c>
    </row>
    <row r="74" spans="1:15" ht="18">
      <c r="A74" s="12">
        <v>73</v>
      </c>
      <c r="B74" s="12">
        <v>53</v>
      </c>
      <c r="C74" s="12">
        <v>30171.85</v>
      </c>
      <c r="D74" s="12" t="s">
        <v>7</v>
      </c>
      <c r="E74" s="12" t="s">
        <v>12</v>
      </c>
      <c r="F74" s="12" t="s">
        <v>15</v>
      </c>
      <c r="G74" s="12" t="s">
        <v>18</v>
      </c>
      <c r="H74" s="12">
        <v>1</v>
      </c>
      <c r="I74" s="12">
        <v>1</v>
      </c>
      <c r="J74" s="12">
        <v>3</v>
      </c>
      <c r="K74" s="12">
        <f t="shared" si="3"/>
        <v>46</v>
      </c>
      <c r="L74" s="12" t="str">
        <f>IF(AND(B74&gt;=18, B74&lt;=30),
    IF(N74&gt;=3, "Young Professionals", "Other"),
    IF(AND(B74&gt;=60, N74&gt;=3),
        "Wealthy Seniors",
        IF(AND(B74&gt;=31, B74&lt;=59, N74&gt;=2),
            "Moderately Engaged Prof.",
            IF(AND(B74&gt;=60, N74&lt;2),
                "Low-Income Retirees", "Other"))))</f>
        <v>Moderately Engaged Prof.</v>
      </c>
      <c r="M74" t="str">
        <f t="shared" si="4"/>
        <v>45-54</v>
      </c>
      <c r="N74" s="26">
        <f>H74 + I74</f>
        <v>2</v>
      </c>
      <c r="O74" s="26">
        <f t="shared" si="5"/>
        <v>53730.51263157896</v>
      </c>
    </row>
    <row r="75" spans="1:15" ht="18">
      <c r="A75" s="12">
        <v>74</v>
      </c>
      <c r="B75" s="12">
        <v>31</v>
      </c>
      <c r="C75" s="12">
        <v>39976.300000000003</v>
      </c>
      <c r="D75" s="12" t="s">
        <v>7</v>
      </c>
      <c r="E75" s="12" t="s">
        <v>11</v>
      </c>
      <c r="F75" s="12" t="s">
        <v>14</v>
      </c>
      <c r="G75" s="12" t="s">
        <v>16</v>
      </c>
      <c r="H75" s="12">
        <v>2</v>
      </c>
      <c r="I75" s="12">
        <v>2</v>
      </c>
      <c r="J75" s="12">
        <v>1</v>
      </c>
      <c r="K75" s="12">
        <f t="shared" si="3"/>
        <v>46</v>
      </c>
      <c r="L75" s="12" t="str">
        <f>IF(AND(B75&gt;=18, B75&lt;=30),
    IF(N75&gt;=3, "Young Professionals", "Other"),
    IF(AND(B75&gt;=60, N75&gt;=3),
        "Wealthy Seniors",
        IF(AND(B75&gt;=31, B75&lt;=59, N75&gt;=2),
            "Moderately Engaged Prof.",
            IF(AND(B75&gt;=60, N75&lt;2),
                "Low-Income Retirees", "Other"))))</f>
        <v>Moderately Engaged Prof.</v>
      </c>
      <c r="M75" t="str">
        <f t="shared" si="4"/>
        <v>25-34</v>
      </c>
      <c r="N75" s="26">
        <f>H75 + I75</f>
        <v>4</v>
      </c>
      <c r="O75" s="26">
        <f t="shared" si="5"/>
        <v>53730.51263157896</v>
      </c>
    </row>
    <row r="76" spans="1:15" ht="18">
      <c r="A76" s="12">
        <v>75</v>
      </c>
      <c r="B76" s="12">
        <v>48</v>
      </c>
      <c r="C76" s="12">
        <v>47940.63</v>
      </c>
      <c r="D76" s="12" t="s">
        <v>8</v>
      </c>
      <c r="E76" s="12" t="s">
        <v>9</v>
      </c>
      <c r="F76" s="12" t="s">
        <v>13</v>
      </c>
      <c r="G76" s="12" t="s">
        <v>18</v>
      </c>
      <c r="H76" s="12">
        <v>0</v>
      </c>
      <c r="I76" s="12">
        <v>1</v>
      </c>
      <c r="J76" s="12">
        <v>0</v>
      </c>
      <c r="K76" s="12">
        <f t="shared" si="3"/>
        <v>46</v>
      </c>
      <c r="L76" s="12" t="str">
        <f>IF(AND(B76&gt;=18, B76&lt;=30),
    IF(N76&gt;=3, "Young Professionals", "Other"),
    IF(AND(B76&gt;=60, N76&gt;=3),
        "Wealthy Seniors",
        IF(AND(B76&gt;=31, B76&lt;=59, N76&gt;=2),
            "Moderately Engaged Prof.",
            IF(AND(B76&gt;=60, N76&lt;2),
                "Low-Income Retirees", "Other"))))</f>
        <v>Other</v>
      </c>
      <c r="M76" t="str">
        <f t="shared" si="4"/>
        <v>45-54</v>
      </c>
      <c r="N76" s="26">
        <f>H76 + I76</f>
        <v>1</v>
      </c>
      <c r="O76" s="26">
        <f t="shared" si="5"/>
        <v>42046.358571428573</v>
      </c>
    </row>
    <row r="77" spans="1:15" ht="18">
      <c r="A77" s="12">
        <v>76</v>
      </c>
      <c r="B77" s="12">
        <v>32</v>
      </c>
      <c r="C77" s="12">
        <v>71019.820000000007</v>
      </c>
      <c r="D77" s="12" t="s">
        <v>8</v>
      </c>
      <c r="E77" s="12" t="s">
        <v>11</v>
      </c>
      <c r="F77" s="12" t="s">
        <v>14</v>
      </c>
      <c r="G77" s="12" t="s">
        <v>16</v>
      </c>
      <c r="H77" s="12">
        <v>2</v>
      </c>
      <c r="I77" s="12">
        <v>2</v>
      </c>
      <c r="J77" s="12">
        <v>1</v>
      </c>
      <c r="K77" s="12">
        <f t="shared" si="3"/>
        <v>46</v>
      </c>
      <c r="L77" s="12" t="str">
        <f>IF(AND(B77&gt;=18, B77&lt;=30),
    IF(N77&gt;=3, "Young Professionals", "Other"),
    IF(AND(B77&gt;=60, N77&gt;=3),
        "Wealthy Seniors",
        IF(AND(B77&gt;=31, B77&lt;=59, N77&gt;=2),
            "Moderately Engaged Prof.",
            IF(AND(B77&gt;=60, N77&lt;2),
                "Low-Income Retirees", "Other"))))</f>
        <v>Moderately Engaged Prof.</v>
      </c>
      <c r="M77" t="str">
        <f t="shared" si="4"/>
        <v>25-34</v>
      </c>
      <c r="N77" s="26">
        <f>H77 + I77</f>
        <v>4</v>
      </c>
      <c r="O77" s="26">
        <f t="shared" si="5"/>
        <v>53730.51263157896</v>
      </c>
    </row>
    <row r="78" spans="1:15" ht="18">
      <c r="A78" s="12">
        <v>77</v>
      </c>
      <c r="B78" s="12">
        <v>25</v>
      </c>
      <c r="C78" s="12">
        <v>49318.96</v>
      </c>
      <c r="D78" s="12" t="s">
        <v>7</v>
      </c>
      <c r="E78" s="12" t="s">
        <v>9</v>
      </c>
      <c r="F78" s="12" t="s">
        <v>15</v>
      </c>
      <c r="G78" s="12" t="s">
        <v>17</v>
      </c>
      <c r="H78" s="12">
        <v>1</v>
      </c>
      <c r="I78" s="12">
        <v>0</v>
      </c>
      <c r="J78" s="12">
        <v>2</v>
      </c>
      <c r="K78" s="12">
        <f t="shared" si="3"/>
        <v>46</v>
      </c>
      <c r="L78" s="12" t="str">
        <f>IF(AND(B78&gt;=18, B78&lt;=30),
    IF(N78&gt;=3, "Young Professionals", "Other"),
    IF(AND(B78&gt;=60, N78&gt;=3),
        "Wealthy Seniors",
        IF(AND(B78&gt;=31, B78&lt;=59, N78&gt;=2),
            "Moderately Engaged Prof.",
            IF(AND(B78&gt;=60, N78&lt;2),
                "Low-Income Retirees", "Other"))))</f>
        <v>Other</v>
      </c>
      <c r="M78" t="str">
        <f t="shared" si="4"/>
        <v>25-34</v>
      </c>
      <c r="N78" s="26">
        <f>H78 + I78</f>
        <v>1</v>
      </c>
      <c r="O78" s="26">
        <f t="shared" si="5"/>
        <v>42046.358571428573</v>
      </c>
    </row>
    <row r="79" spans="1:15" ht="18">
      <c r="A79" s="12">
        <v>78</v>
      </c>
      <c r="B79" s="12">
        <v>31</v>
      </c>
      <c r="C79" s="12">
        <v>53254.05</v>
      </c>
      <c r="D79" s="12" t="s">
        <v>8</v>
      </c>
      <c r="E79" s="12" t="s">
        <v>12</v>
      </c>
      <c r="F79" s="12" t="s">
        <v>15</v>
      </c>
      <c r="G79" s="12" t="s">
        <v>17</v>
      </c>
      <c r="H79" s="12">
        <v>1</v>
      </c>
      <c r="I79" s="12">
        <v>0</v>
      </c>
      <c r="J79" s="12">
        <v>2</v>
      </c>
      <c r="K79" s="12">
        <f t="shared" si="3"/>
        <v>46</v>
      </c>
      <c r="L79" s="12" t="str">
        <f>IF(AND(B79&gt;=18, B79&lt;=30),
    IF(N79&gt;=3, "Young Professionals", "Other"),
    IF(AND(B79&gt;=60, N79&gt;=3),
        "Wealthy Seniors",
        IF(AND(B79&gt;=31, B79&lt;=59, N79&gt;=2),
            "Moderately Engaged Prof.",
            IF(AND(B79&gt;=60, N79&lt;2),
                "Low-Income Retirees", "Other"))))</f>
        <v>Other</v>
      </c>
      <c r="M79" t="str">
        <f t="shared" si="4"/>
        <v>25-34</v>
      </c>
      <c r="N79" s="26">
        <f>H79 + I79</f>
        <v>1</v>
      </c>
      <c r="O79" s="26">
        <f t="shared" si="5"/>
        <v>42046.358571428573</v>
      </c>
    </row>
    <row r="80" spans="1:15" ht="18">
      <c r="A80" s="12">
        <v>79</v>
      </c>
      <c r="B80" s="12">
        <v>40</v>
      </c>
      <c r="C80" s="12">
        <v>57686.36</v>
      </c>
      <c r="D80" s="12" t="s">
        <v>7</v>
      </c>
      <c r="E80" s="12" t="s">
        <v>10</v>
      </c>
      <c r="F80" s="12" t="s">
        <v>15</v>
      </c>
      <c r="G80" s="12" t="s">
        <v>16</v>
      </c>
      <c r="H80" s="12">
        <v>1</v>
      </c>
      <c r="I80" s="12">
        <v>2</v>
      </c>
      <c r="J80" s="12">
        <v>1</v>
      </c>
      <c r="K80" s="12">
        <f t="shared" si="3"/>
        <v>46</v>
      </c>
      <c r="L80" s="12" t="str">
        <f>IF(AND(B80&gt;=18, B80&lt;=30),
    IF(N80&gt;=3, "Young Professionals", "Other"),
    IF(AND(B80&gt;=60, N80&gt;=3),
        "Wealthy Seniors",
        IF(AND(B80&gt;=31, B80&lt;=59, N80&gt;=2),
            "Moderately Engaged Prof.",
            IF(AND(B80&gt;=60, N80&lt;2),
                "Low-Income Retirees", "Other"))))</f>
        <v>Moderately Engaged Prof.</v>
      </c>
      <c r="M80" t="str">
        <f t="shared" si="4"/>
        <v>35-44</v>
      </c>
      <c r="N80" s="26">
        <f>H80 + I80</f>
        <v>3</v>
      </c>
      <c r="O80" s="26">
        <f t="shared" si="5"/>
        <v>53730.51263157896</v>
      </c>
    </row>
    <row r="81" spans="1:15" ht="18">
      <c r="A81" s="12">
        <v>80</v>
      </c>
      <c r="B81" s="12">
        <v>57</v>
      </c>
      <c r="C81" s="12">
        <v>58152.33</v>
      </c>
      <c r="D81" s="12" t="s">
        <v>7</v>
      </c>
      <c r="E81" s="12" t="s">
        <v>11</v>
      </c>
      <c r="F81" s="12" t="s">
        <v>14</v>
      </c>
      <c r="G81" s="12" t="s">
        <v>16</v>
      </c>
      <c r="H81" s="12">
        <v>2</v>
      </c>
      <c r="I81" s="12">
        <v>2</v>
      </c>
      <c r="J81" s="12">
        <v>3</v>
      </c>
      <c r="K81" s="12">
        <f t="shared" si="3"/>
        <v>46</v>
      </c>
      <c r="L81" s="12" t="str">
        <f>IF(AND(B81&gt;=18, B81&lt;=30),
    IF(N81&gt;=3, "Young Professionals", "Other"),
    IF(AND(B81&gt;=60, N81&gt;=3),
        "Wealthy Seniors",
        IF(AND(B81&gt;=31, B81&lt;=59, N81&gt;=2),
            "Moderately Engaged Prof.",
            IF(AND(B81&gt;=60, N81&lt;2),
                "Low-Income Retirees", "Other"))))</f>
        <v>Moderately Engaged Prof.</v>
      </c>
      <c r="M81" t="str">
        <f t="shared" si="4"/>
        <v>55+</v>
      </c>
      <c r="N81" s="26">
        <f>H81 + I81</f>
        <v>4</v>
      </c>
      <c r="O81" s="26">
        <f t="shared" si="5"/>
        <v>53730.51263157896</v>
      </c>
    </row>
    <row r="82" spans="1:15" ht="18">
      <c r="A82" s="12">
        <v>81</v>
      </c>
      <c r="B82" s="12">
        <v>38</v>
      </c>
      <c r="C82" s="12">
        <v>50421.49</v>
      </c>
      <c r="D82" s="12" t="s">
        <v>7</v>
      </c>
      <c r="E82" s="12" t="s">
        <v>9</v>
      </c>
      <c r="F82" s="12" t="s">
        <v>15</v>
      </c>
      <c r="G82" s="12" t="s">
        <v>16</v>
      </c>
      <c r="H82" s="12">
        <v>1</v>
      </c>
      <c r="I82" s="12">
        <v>2</v>
      </c>
      <c r="J82" s="12">
        <v>1</v>
      </c>
      <c r="K82" s="12">
        <f t="shared" si="3"/>
        <v>46</v>
      </c>
      <c r="L82" s="12" t="str">
        <f>IF(AND(B82&gt;=18, B82&lt;=30),
    IF(N82&gt;=3, "Young Professionals", "Other"),
    IF(AND(B82&gt;=60, N82&gt;=3),
        "Wealthy Seniors",
        IF(AND(B82&gt;=31, B82&lt;=59, N82&gt;=2),
            "Moderately Engaged Prof.",
            IF(AND(B82&gt;=60, N82&lt;2),
                "Low-Income Retirees", "Other"))))</f>
        <v>Moderately Engaged Prof.</v>
      </c>
      <c r="M82" t="str">
        <f t="shared" si="4"/>
        <v>35-44</v>
      </c>
      <c r="N82" s="26">
        <f>H82 + I82</f>
        <v>3</v>
      </c>
      <c r="O82" s="26">
        <f t="shared" si="5"/>
        <v>53730.51263157896</v>
      </c>
    </row>
    <row r="83" spans="1:15" ht="18">
      <c r="A83" s="12">
        <v>82</v>
      </c>
      <c r="B83" s="12">
        <v>33</v>
      </c>
      <c r="C83" s="12">
        <v>32043.69</v>
      </c>
      <c r="D83" s="12" t="s">
        <v>7</v>
      </c>
      <c r="E83" s="12" t="s">
        <v>11</v>
      </c>
      <c r="F83" s="12" t="s">
        <v>15</v>
      </c>
      <c r="G83" s="12" t="s">
        <v>17</v>
      </c>
      <c r="H83" s="12">
        <v>1</v>
      </c>
      <c r="I83" s="12">
        <v>0</v>
      </c>
      <c r="J83" s="12">
        <v>2</v>
      </c>
      <c r="K83" s="12">
        <f t="shared" si="3"/>
        <v>46</v>
      </c>
      <c r="L83" s="12" t="str">
        <f>IF(AND(B83&gt;=18, B83&lt;=30),
    IF(N83&gt;=3, "Young Professionals", "Other"),
    IF(AND(B83&gt;=60, N83&gt;=3),
        "Wealthy Seniors",
        IF(AND(B83&gt;=31, B83&lt;=59, N83&gt;=2),
            "Moderately Engaged Prof.",
            IF(AND(B83&gt;=60, N83&lt;2),
                "Low-Income Retirees", "Other"))))</f>
        <v>Other</v>
      </c>
      <c r="M83" t="str">
        <f t="shared" si="4"/>
        <v>25-34</v>
      </c>
      <c r="N83" s="26">
        <f>H83 + I83</f>
        <v>1</v>
      </c>
      <c r="O83" s="26">
        <f t="shared" si="5"/>
        <v>42046.358571428573</v>
      </c>
    </row>
    <row r="84" spans="1:15" ht="18">
      <c r="A84" s="12">
        <v>83</v>
      </c>
      <c r="B84" s="12">
        <v>62</v>
      </c>
      <c r="C84" s="12">
        <v>61845.09</v>
      </c>
      <c r="D84" s="12" t="s">
        <v>7</v>
      </c>
      <c r="E84" s="12" t="s">
        <v>9</v>
      </c>
      <c r="F84" s="12" t="s">
        <v>14</v>
      </c>
      <c r="G84" s="12" t="s">
        <v>16</v>
      </c>
      <c r="H84" s="12">
        <v>2</v>
      </c>
      <c r="I84" s="12">
        <v>2</v>
      </c>
      <c r="J84" s="12">
        <v>3</v>
      </c>
      <c r="K84" s="12">
        <f t="shared" si="3"/>
        <v>46</v>
      </c>
      <c r="L84" s="12" t="str">
        <f>IF(AND(B84&gt;=18, B84&lt;=30),
    IF(N84&gt;=3, "Young Professionals", "Other"),
    IF(AND(B84&gt;=60, N84&gt;=3),
        "Wealthy Seniors",
        IF(AND(B84&gt;=31, B84&lt;=59, N84&gt;=2),
            "Moderately Engaged Prof.",
            IF(AND(B84&gt;=60, N84&lt;2),
                "Low-Income Retirees", "Other"))))</f>
        <v>Wealthy Seniors</v>
      </c>
      <c r="M84" t="str">
        <f t="shared" si="4"/>
        <v>55+</v>
      </c>
      <c r="N84" s="26">
        <f>H84 + I84</f>
        <v>4</v>
      </c>
      <c r="O84" s="26">
        <f t="shared" si="5"/>
        <v>54385.223333333328</v>
      </c>
    </row>
    <row r="85" spans="1:15" ht="18">
      <c r="A85" s="12">
        <v>84</v>
      </c>
      <c r="B85" s="12">
        <v>35</v>
      </c>
      <c r="C85" s="12">
        <v>56472.34</v>
      </c>
      <c r="D85" s="12" t="s">
        <v>8</v>
      </c>
      <c r="E85" s="12" t="s">
        <v>11</v>
      </c>
      <c r="F85" s="12" t="s">
        <v>13</v>
      </c>
      <c r="G85" s="12" t="s">
        <v>17</v>
      </c>
      <c r="H85" s="12">
        <v>0</v>
      </c>
      <c r="I85" s="12">
        <v>0</v>
      </c>
      <c r="J85" s="12">
        <v>2</v>
      </c>
      <c r="K85" s="12">
        <f t="shared" si="3"/>
        <v>46</v>
      </c>
      <c r="L85" s="12" t="str">
        <f>IF(AND(B85&gt;=18, B85&lt;=30),
    IF(N85&gt;=3, "Young Professionals", "Other"),
    IF(AND(B85&gt;=60, N85&gt;=3),
        "Wealthy Seniors",
        IF(AND(B85&gt;=31, B85&lt;=59, N85&gt;=2),
            "Moderately Engaged Prof.",
            IF(AND(B85&gt;=60, N85&lt;2),
                "Low-Income Retirees", "Other"))))</f>
        <v>Other</v>
      </c>
      <c r="M85" t="str">
        <f t="shared" si="4"/>
        <v>35-44</v>
      </c>
      <c r="N85" s="26">
        <f>H85 + I85</f>
        <v>0</v>
      </c>
      <c r="O85" s="26">
        <f t="shared" si="5"/>
        <v>42046.358571428573</v>
      </c>
    </row>
    <row r="86" spans="1:15" ht="18">
      <c r="A86" s="12">
        <v>85</v>
      </c>
      <c r="B86" s="12">
        <v>64</v>
      </c>
      <c r="C86" s="12">
        <v>33548.720000000001</v>
      </c>
      <c r="D86" s="12" t="s">
        <v>8</v>
      </c>
      <c r="E86" s="12" t="s">
        <v>9</v>
      </c>
      <c r="F86" s="12" t="s">
        <v>14</v>
      </c>
      <c r="G86" s="12" t="s">
        <v>18</v>
      </c>
      <c r="H86" s="12">
        <v>2</v>
      </c>
      <c r="I86" s="12">
        <v>1</v>
      </c>
      <c r="J86" s="12">
        <v>3</v>
      </c>
      <c r="K86" s="12">
        <f t="shared" si="3"/>
        <v>46</v>
      </c>
      <c r="L86" s="12" t="str">
        <f>IF(AND(B86&gt;=18, B86&lt;=30),
    IF(N86&gt;=3, "Young Professionals", "Other"),
    IF(AND(B86&gt;=60, N86&gt;=3),
        "Wealthy Seniors",
        IF(AND(B86&gt;=31, B86&lt;=59, N86&gt;=2),
            "Moderately Engaged Prof.",
            IF(AND(B86&gt;=60, N86&lt;2),
                "Low-Income Retirees", "Other"))))</f>
        <v>Wealthy Seniors</v>
      </c>
      <c r="M86" t="str">
        <f t="shared" si="4"/>
        <v>55+</v>
      </c>
      <c r="N86" s="26">
        <f>H86 + I86</f>
        <v>3</v>
      </c>
      <c r="O86" s="26">
        <f t="shared" si="5"/>
        <v>54385.223333333328</v>
      </c>
    </row>
    <row r="87" spans="1:15" ht="18">
      <c r="A87" s="12">
        <v>86</v>
      </c>
      <c r="B87" s="12">
        <v>41</v>
      </c>
      <c r="C87" s="12">
        <v>39765.480000000003</v>
      </c>
      <c r="D87" s="12" t="s">
        <v>7</v>
      </c>
      <c r="E87" s="12" t="s">
        <v>9</v>
      </c>
      <c r="F87" s="12" t="s">
        <v>15</v>
      </c>
      <c r="G87" s="12" t="s">
        <v>17</v>
      </c>
      <c r="H87" s="12">
        <v>1</v>
      </c>
      <c r="I87" s="12">
        <v>0</v>
      </c>
      <c r="J87" s="12">
        <v>2</v>
      </c>
      <c r="K87" s="12">
        <f t="shared" si="3"/>
        <v>46</v>
      </c>
      <c r="L87" s="12" t="str">
        <f>IF(AND(B87&gt;=18, B87&lt;=30),
    IF(N87&gt;=3, "Young Professionals", "Other"),
    IF(AND(B87&gt;=60, N87&gt;=3),
        "Wealthy Seniors",
        IF(AND(B87&gt;=31, B87&lt;=59, N87&gt;=2),
            "Moderately Engaged Prof.",
            IF(AND(B87&gt;=60, N87&lt;2),
                "Low-Income Retirees", "Other"))))</f>
        <v>Other</v>
      </c>
      <c r="M87" t="str">
        <f t="shared" si="4"/>
        <v>35-44</v>
      </c>
      <c r="N87" s="26">
        <f>H87 + I87</f>
        <v>1</v>
      </c>
      <c r="O87" s="26">
        <f t="shared" si="5"/>
        <v>42046.358571428573</v>
      </c>
    </row>
    <row r="88" spans="1:15" ht="18">
      <c r="A88" s="12">
        <v>87</v>
      </c>
      <c r="B88" s="12">
        <v>43</v>
      </c>
      <c r="C88" s="12">
        <v>63312.67</v>
      </c>
      <c r="D88" s="12" t="s">
        <v>7</v>
      </c>
      <c r="E88" s="12" t="s">
        <v>12</v>
      </c>
      <c r="F88" s="12" t="s">
        <v>15</v>
      </c>
      <c r="G88" s="12" t="s">
        <v>17</v>
      </c>
      <c r="H88" s="12">
        <v>1</v>
      </c>
      <c r="I88" s="12">
        <v>0</v>
      </c>
      <c r="J88" s="12">
        <v>2</v>
      </c>
      <c r="K88" s="12">
        <f t="shared" si="3"/>
        <v>46</v>
      </c>
      <c r="L88" s="12" t="str">
        <f>IF(AND(B88&gt;=18, B88&lt;=30),
    IF(N88&gt;=3, "Young Professionals", "Other"),
    IF(AND(B88&gt;=60, N88&gt;=3),
        "Wealthy Seniors",
        IF(AND(B88&gt;=31, B88&lt;=59, N88&gt;=2),
            "Moderately Engaged Prof.",
            IF(AND(B88&gt;=60, N88&lt;2),
                "Low-Income Retirees", "Other"))))</f>
        <v>Other</v>
      </c>
      <c r="M88" t="str">
        <f t="shared" si="4"/>
        <v>35-44</v>
      </c>
      <c r="N88" s="26">
        <f>H88 + I88</f>
        <v>1</v>
      </c>
      <c r="O88" s="26">
        <f t="shared" si="5"/>
        <v>42046.358571428573</v>
      </c>
    </row>
    <row r="89" spans="1:15" ht="18">
      <c r="A89" s="12">
        <v>88</v>
      </c>
      <c r="B89" s="12">
        <v>42</v>
      </c>
      <c r="C89" s="12">
        <v>59082.25</v>
      </c>
      <c r="D89" s="12" t="s">
        <v>8</v>
      </c>
      <c r="E89" s="12" t="s">
        <v>9</v>
      </c>
      <c r="F89" s="12" t="s">
        <v>14</v>
      </c>
      <c r="G89" s="12" t="s">
        <v>18</v>
      </c>
      <c r="H89" s="12">
        <v>2</v>
      </c>
      <c r="I89" s="12">
        <v>1</v>
      </c>
      <c r="J89" s="12">
        <v>1</v>
      </c>
      <c r="K89" s="12">
        <f t="shared" si="3"/>
        <v>46</v>
      </c>
      <c r="L89" s="12" t="str">
        <f>IF(AND(B89&gt;=18, B89&lt;=30),
    IF(N89&gt;=3, "Young Professionals", "Other"),
    IF(AND(B89&gt;=60, N89&gt;=3),
        "Wealthy Seniors",
        IF(AND(B89&gt;=31, B89&lt;=59, N89&gt;=2),
            "Moderately Engaged Prof.",
            IF(AND(B89&gt;=60, N89&lt;2),
                "Low-Income Retirees", "Other"))))</f>
        <v>Moderately Engaged Prof.</v>
      </c>
      <c r="M89" t="str">
        <f t="shared" si="4"/>
        <v>35-44</v>
      </c>
      <c r="N89" s="26">
        <f>H89 + I89</f>
        <v>3</v>
      </c>
      <c r="O89" s="26">
        <f t="shared" si="5"/>
        <v>53730.51263157896</v>
      </c>
    </row>
    <row r="90" spans="1:15" ht="18">
      <c r="A90" s="12">
        <v>89</v>
      </c>
      <c r="B90" s="12">
        <v>62</v>
      </c>
      <c r="C90" s="12">
        <v>39195.53</v>
      </c>
      <c r="D90" s="12" t="s">
        <v>8</v>
      </c>
      <c r="E90" s="12" t="s">
        <v>12</v>
      </c>
      <c r="F90" s="12" t="s">
        <v>13</v>
      </c>
      <c r="G90" s="12" t="s">
        <v>17</v>
      </c>
      <c r="H90" s="12">
        <v>0</v>
      </c>
      <c r="I90" s="12">
        <v>0</v>
      </c>
      <c r="J90" s="12">
        <v>0</v>
      </c>
      <c r="K90" s="12">
        <f t="shared" si="3"/>
        <v>46</v>
      </c>
      <c r="L90" s="12" t="str">
        <f>IF(AND(B90&gt;=18, B90&lt;=30),
    IF(N90&gt;=3, "Young Professionals", "Other"),
    IF(AND(B90&gt;=60, N90&gt;=3),
        "Wealthy Seniors",
        IF(AND(B90&gt;=31, B90&lt;=59, N90&gt;=2),
            "Moderately Engaged Prof.",
            IF(AND(B90&gt;=60, N90&lt;2),
                "Low-Income Retirees", "Other"))))</f>
        <v>Low-Income Retirees</v>
      </c>
      <c r="M90" t="str">
        <f t="shared" si="4"/>
        <v>55+</v>
      </c>
      <c r="N90" s="26">
        <f>H90 + I90</f>
        <v>0</v>
      </c>
      <c r="O90" s="26" t="s">
        <v>75</v>
      </c>
    </row>
    <row r="91" spans="1:15" ht="18">
      <c r="A91" s="12">
        <v>90</v>
      </c>
      <c r="B91" s="12">
        <v>58</v>
      </c>
      <c r="C91" s="12">
        <v>45950.99</v>
      </c>
      <c r="D91" s="12" t="s">
        <v>7</v>
      </c>
      <c r="E91" s="12" t="s">
        <v>9</v>
      </c>
      <c r="F91" s="12" t="s">
        <v>15</v>
      </c>
      <c r="G91" s="12" t="s">
        <v>16</v>
      </c>
      <c r="H91" s="12">
        <v>1</v>
      </c>
      <c r="I91" s="12">
        <v>2</v>
      </c>
      <c r="J91" s="12">
        <v>3</v>
      </c>
      <c r="K91" s="12">
        <f t="shared" si="3"/>
        <v>46</v>
      </c>
      <c r="L91" s="12" t="str">
        <f>IF(AND(B91&gt;=18, B91&lt;=30),
    IF(N91&gt;=3, "Young Professionals", "Other"),
    IF(AND(B91&gt;=60, N91&gt;=3),
        "Wealthy Seniors",
        IF(AND(B91&gt;=31, B91&lt;=59, N91&gt;=2),
            "Moderately Engaged Prof.",
            IF(AND(B91&gt;=60, N91&lt;2),
                "Low-Income Retirees", "Other"))))</f>
        <v>Moderately Engaged Prof.</v>
      </c>
      <c r="M91" t="str">
        <f t="shared" si="4"/>
        <v>55+</v>
      </c>
      <c r="N91" s="26">
        <f>H91 + I91</f>
        <v>3</v>
      </c>
      <c r="O91" s="26">
        <f t="shared" si="5"/>
        <v>53730.51263157896</v>
      </c>
    </row>
    <row r="92" spans="1:15" ht="18">
      <c r="A92" s="12">
        <v>91</v>
      </c>
      <c r="B92" s="12">
        <v>46</v>
      </c>
      <c r="C92" s="12">
        <v>47848.07</v>
      </c>
      <c r="D92" s="12" t="s">
        <v>8</v>
      </c>
      <c r="E92" s="12" t="s">
        <v>10</v>
      </c>
      <c r="F92" s="12" t="s">
        <v>15</v>
      </c>
      <c r="G92" s="12" t="s">
        <v>16</v>
      </c>
      <c r="H92" s="12">
        <v>1</v>
      </c>
      <c r="I92" s="12">
        <v>2</v>
      </c>
      <c r="J92" s="12">
        <v>3</v>
      </c>
      <c r="K92" s="12">
        <f t="shared" si="3"/>
        <v>46</v>
      </c>
      <c r="L92" s="12" t="str">
        <f>IF(AND(B92&gt;=18, B92&lt;=30),
    IF(N92&gt;=3, "Young Professionals", "Other"),
    IF(AND(B92&gt;=60, N92&gt;=3),
        "Wealthy Seniors",
        IF(AND(B92&gt;=31, B92&lt;=59, N92&gt;=2),
            "Moderately Engaged Prof.",
            IF(AND(B92&gt;=60, N92&lt;2),
                "Low-Income Retirees", "Other"))))</f>
        <v>Moderately Engaged Prof.</v>
      </c>
      <c r="M92" t="str">
        <f t="shared" si="4"/>
        <v>45-54</v>
      </c>
      <c r="N92" s="26">
        <f>H92 + I92</f>
        <v>3</v>
      </c>
      <c r="O92" s="26">
        <f t="shared" si="5"/>
        <v>53730.51263157896</v>
      </c>
    </row>
    <row r="93" spans="1:15" ht="18">
      <c r="A93" s="12">
        <v>92</v>
      </c>
      <c r="B93" s="12">
        <v>32</v>
      </c>
      <c r="C93" s="12">
        <v>59255.06</v>
      </c>
      <c r="D93" s="12" t="s">
        <v>7</v>
      </c>
      <c r="E93" s="12" t="s">
        <v>10</v>
      </c>
      <c r="F93" s="12" t="s">
        <v>15</v>
      </c>
      <c r="G93" s="12" t="s">
        <v>17</v>
      </c>
      <c r="H93" s="12">
        <v>1</v>
      </c>
      <c r="I93" s="12">
        <v>0</v>
      </c>
      <c r="J93" s="12">
        <v>2</v>
      </c>
      <c r="K93" s="12">
        <f t="shared" si="3"/>
        <v>46</v>
      </c>
      <c r="L93" s="12" t="str">
        <f>IF(AND(B93&gt;=18, B93&lt;=30),
    IF(N93&gt;=3, "Young Professionals", "Other"),
    IF(AND(B93&gt;=60, N93&gt;=3),
        "Wealthy Seniors",
        IF(AND(B93&gt;=31, B93&lt;=59, N93&gt;=2),
            "Moderately Engaged Prof.",
            IF(AND(B93&gt;=60, N93&lt;2),
                "Low-Income Retirees", "Other"))))</f>
        <v>Other</v>
      </c>
      <c r="M93" t="str">
        <f t="shared" si="4"/>
        <v>25-34</v>
      </c>
      <c r="N93" s="26">
        <f>H93 + I93</f>
        <v>1</v>
      </c>
      <c r="O93" s="26">
        <f t="shared" si="5"/>
        <v>42046.358571428573</v>
      </c>
    </row>
    <row r="94" spans="1:15" ht="18">
      <c r="A94" s="12">
        <v>93</v>
      </c>
      <c r="B94" s="12">
        <v>62</v>
      </c>
      <c r="C94" s="12">
        <v>68734.11</v>
      </c>
      <c r="D94" s="12" t="s">
        <v>8</v>
      </c>
      <c r="E94" s="12" t="s">
        <v>10</v>
      </c>
      <c r="F94" s="12" t="s">
        <v>14</v>
      </c>
      <c r="G94" s="12" t="s">
        <v>16</v>
      </c>
      <c r="H94" s="12">
        <v>2</v>
      </c>
      <c r="I94" s="12">
        <v>2</v>
      </c>
      <c r="J94" s="12">
        <v>3</v>
      </c>
      <c r="K94" s="12">
        <f t="shared" si="3"/>
        <v>46</v>
      </c>
      <c r="L94" s="12" t="str">
        <f>IF(AND(B94&gt;=18, B94&lt;=30),
    IF(N94&gt;=3, "Young Professionals", "Other"),
    IF(AND(B94&gt;=60, N94&gt;=3),
        "Wealthy Seniors",
        IF(AND(B94&gt;=31, B94&lt;=59, N94&gt;=2),
            "Moderately Engaged Prof.",
            IF(AND(B94&gt;=60, N94&lt;2),
                "Low-Income Retirees", "Other"))))</f>
        <v>Wealthy Seniors</v>
      </c>
      <c r="M94" t="str">
        <f t="shared" si="4"/>
        <v>55+</v>
      </c>
      <c r="N94" s="26">
        <f>H94 + I94</f>
        <v>4</v>
      </c>
      <c r="O94" s="26">
        <f t="shared" si="5"/>
        <v>54385.223333333328</v>
      </c>
    </row>
    <row r="95" spans="1:15" ht="18">
      <c r="A95" s="12">
        <v>94</v>
      </c>
      <c r="B95" s="12">
        <v>18</v>
      </c>
      <c r="C95" s="12">
        <v>50984.74</v>
      </c>
      <c r="D95" s="12" t="s">
        <v>7</v>
      </c>
      <c r="E95" s="12" t="s">
        <v>9</v>
      </c>
      <c r="F95" s="12" t="s">
        <v>15</v>
      </c>
      <c r="G95" s="12" t="s">
        <v>17</v>
      </c>
      <c r="H95" s="12">
        <v>1</v>
      </c>
      <c r="I95" s="12">
        <v>0</v>
      </c>
      <c r="J95" s="12">
        <v>2</v>
      </c>
      <c r="K95" s="12">
        <f t="shared" si="3"/>
        <v>46</v>
      </c>
      <c r="L95" s="12" t="str">
        <f>IF(AND(B95&gt;=18, B95&lt;=30),
    IF(N95&gt;=3, "Young Professionals", "Other"),
    IF(AND(B95&gt;=60, N95&gt;=3),
        "Wealthy Seniors",
        IF(AND(B95&gt;=31, B95&lt;=59, N95&gt;=2),
            "Moderately Engaged Prof.",
            IF(AND(B95&gt;=60, N95&lt;2),
                "Low-Income Retirees", "Other"))))</f>
        <v>Other</v>
      </c>
      <c r="M95" t="str">
        <f t="shared" si="4"/>
        <v>18-24</v>
      </c>
      <c r="N95" s="26">
        <f>H95 + I95</f>
        <v>1</v>
      </c>
      <c r="O95" s="26">
        <f t="shared" si="5"/>
        <v>42046.358571428573</v>
      </c>
    </row>
    <row r="96" spans="1:15" ht="18">
      <c r="A96" s="12">
        <v>95</v>
      </c>
      <c r="B96" s="12">
        <v>42</v>
      </c>
      <c r="C96" s="12">
        <v>67538.11</v>
      </c>
      <c r="D96" s="12" t="s">
        <v>8</v>
      </c>
      <c r="E96" s="12" t="s">
        <v>12</v>
      </c>
      <c r="F96" s="12" t="s">
        <v>13</v>
      </c>
      <c r="G96" s="12" t="s">
        <v>16</v>
      </c>
      <c r="H96" s="12">
        <v>0</v>
      </c>
      <c r="I96" s="12">
        <v>2</v>
      </c>
      <c r="J96" s="12">
        <v>0</v>
      </c>
      <c r="K96" s="12">
        <f t="shared" si="3"/>
        <v>46</v>
      </c>
      <c r="L96" s="12" t="str">
        <f>IF(AND(B96&gt;=18, B96&lt;=30),
    IF(N96&gt;=3, "Young Professionals", "Other"),
    IF(AND(B96&gt;=60, N96&gt;=3),
        "Wealthy Seniors",
        IF(AND(B96&gt;=31, B96&lt;=59, N96&gt;=2),
            "Moderately Engaged Prof.",
            IF(AND(B96&gt;=60, N96&lt;2),
                "Low-Income Retirees", "Other"))))</f>
        <v>Moderately Engaged Prof.</v>
      </c>
      <c r="M96" t="str">
        <f t="shared" si="4"/>
        <v>35-44</v>
      </c>
      <c r="N96" s="26">
        <f>H96 + I96</f>
        <v>2</v>
      </c>
      <c r="O96" s="26">
        <f t="shared" si="5"/>
        <v>53730.51263157896</v>
      </c>
    </row>
    <row r="97" spans="1:15" ht="18">
      <c r="A97" s="12">
        <v>96</v>
      </c>
      <c r="B97" s="12">
        <v>24</v>
      </c>
      <c r="C97" s="12">
        <v>63099.75</v>
      </c>
      <c r="D97" s="12" t="s">
        <v>7</v>
      </c>
      <c r="E97" s="12" t="s">
        <v>12</v>
      </c>
      <c r="F97" s="12" t="s">
        <v>15</v>
      </c>
      <c r="G97" s="12" t="s">
        <v>16</v>
      </c>
      <c r="H97" s="12">
        <v>1</v>
      </c>
      <c r="I97" s="12">
        <v>2</v>
      </c>
      <c r="J97" s="12">
        <v>1</v>
      </c>
      <c r="K97" s="12">
        <f t="shared" si="3"/>
        <v>46</v>
      </c>
      <c r="L97" s="12" t="str">
        <f>IF(AND(B97&gt;=18, B97&lt;=30),
    IF(N97&gt;=3, "Young Professionals", "Other"),
    IF(AND(B97&gt;=60, N97&gt;=3),
        "Wealthy Seniors",
        IF(AND(B97&gt;=31, B97&lt;=59, N97&gt;=2),
            "Moderately Engaged Prof.",
            IF(AND(B97&gt;=60, N97&lt;2),
                "Low-Income Retirees", "Other"))))</f>
        <v>Young Professionals</v>
      </c>
      <c r="M97" t="str">
        <f t="shared" si="4"/>
        <v>18-24</v>
      </c>
      <c r="N97" s="26">
        <f>H97 + I97</f>
        <v>3</v>
      </c>
      <c r="O97" s="26">
        <f t="shared" si="5"/>
        <v>50173.108</v>
      </c>
    </row>
    <row r="98" spans="1:15" ht="18">
      <c r="A98" s="12">
        <v>97</v>
      </c>
      <c r="B98" s="12">
        <v>26</v>
      </c>
      <c r="C98" s="12">
        <v>53084.75</v>
      </c>
      <c r="D98" s="12" t="s">
        <v>8</v>
      </c>
      <c r="E98" s="12" t="s">
        <v>9</v>
      </c>
      <c r="F98" s="12" t="s">
        <v>15</v>
      </c>
      <c r="G98" s="12" t="s">
        <v>17</v>
      </c>
      <c r="H98" s="12">
        <v>1</v>
      </c>
      <c r="I98" s="12">
        <v>0</v>
      </c>
      <c r="J98" s="12">
        <v>2</v>
      </c>
      <c r="K98" s="12">
        <f t="shared" si="3"/>
        <v>46</v>
      </c>
      <c r="L98" s="12" t="str">
        <f>IF(AND(B98&gt;=18, B98&lt;=30),
    IF(N98&gt;=3, "Young Professionals", "Other"),
    IF(AND(B98&gt;=60, N98&gt;=3),
        "Wealthy Seniors",
        IF(AND(B98&gt;=31, B98&lt;=59, N98&gt;=2),
            "Moderately Engaged Prof.",
            IF(AND(B98&gt;=60, N98&lt;2),
                "Low-Income Retirees", "Other"))))</f>
        <v>Other</v>
      </c>
      <c r="M98" t="str">
        <f t="shared" si="4"/>
        <v>25-34</v>
      </c>
      <c r="N98" s="26">
        <f>H98 + I98</f>
        <v>1</v>
      </c>
      <c r="O98" s="26">
        <f t="shared" si="5"/>
        <v>42046.358571428573</v>
      </c>
    </row>
    <row r="99" spans="1:15" ht="18">
      <c r="A99" s="12">
        <v>98</v>
      </c>
      <c r="B99" s="12">
        <v>41</v>
      </c>
      <c r="C99" s="12">
        <v>28347.75</v>
      </c>
      <c r="D99" s="12" t="s">
        <v>8</v>
      </c>
      <c r="E99" s="12" t="s">
        <v>10</v>
      </c>
      <c r="F99" s="12" t="s">
        <v>13</v>
      </c>
      <c r="G99" s="12" t="s">
        <v>16</v>
      </c>
      <c r="H99" s="12">
        <v>0</v>
      </c>
      <c r="I99" s="12">
        <v>2</v>
      </c>
      <c r="J99" s="12">
        <v>0</v>
      </c>
      <c r="K99" s="12">
        <f t="shared" si="3"/>
        <v>46</v>
      </c>
      <c r="L99" s="12" t="str">
        <f>IF(AND(B99&gt;=18, B99&lt;=30),
    IF(N99&gt;=3, "Young Professionals", "Other"),
    IF(AND(B99&gt;=60, N99&gt;=3),
        "Wealthy Seniors",
        IF(AND(B99&gt;=31, B99&lt;=59, N99&gt;=2),
            "Moderately Engaged Prof.",
            IF(AND(B99&gt;=60, N99&lt;2),
                "Low-Income Retirees", "Other"))))</f>
        <v>Moderately Engaged Prof.</v>
      </c>
      <c r="M99" t="str">
        <f t="shared" si="4"/>
        <v>35-44</v>
      </c>
      <c r="N99" s="26">
        <f>H99 + I99</f>
        <v>2</v>
      </c>
      <c r="O99" s="26">
        <f t="shared" si="5"/>
        <v>53730.51263157896</v>
      </c>
    </row>
    <row r="100" spans="1:15" ht="18">
      <c r="A100" s="12">
        <v>99</v>
      </c>
      <c r="B100" s="12">
        <v>18</v>
      </c>
      <c r="C100" s="12">
        <v>34584.339999999997</v>
      </c>
      <c r="D100" s="12" t="s">
        <v>7</v>
      </c>
      <c r="E100" s="12" t="s">
        <v>10</v>
      </c>
      <c r="F100" s="12" t="s">
        <v>15</v>
      </c>
      <c r="G100" s="12" t="s">
        <v>17</v>
      </c>
      <c r="H100" s="12">
        <v>1</v>
      </c>
      <c r="I100" s="12">
        <v>0</v>
      </c>
      <c r="J100" s="12">
        <v>2</v>
      </c>
      <c r="K100" s="12">
        <f t="shared" si="3"/>
        <v>46</v>
      </c>
      <c r="L100" s="12" t="str">
        <f>IF(AND(B100&gt;=18, B100&lt;=30),
    IF(N100&gt;=3, "Young Professionals", "Other"),
    IF(AND(B100&gt;=60, N100&gt;=3),
        "Wealthy Seniors",
        IF(AND(B100&gt;=31, B100&lt;=59, N100&gt;=2),
            "Moderately Engaged Prof.",
            IF(AND(B100&gt;=60, N100&lt;2),
                "Low-Income Retirees", "Other"))))</f>
        <v>Other</v>
      </c>
      <c r="M100" t="str">
        <f t="shared" si="4"/>
        <v>18-24</v>
      </c>
      <c r="N100" s="26">
        <f>H100 + I100</f>
        <v>1</v>
      </c>
      <c r="O100" s="26">
        <f t="shared" si="5"/>
        <v>42046.358571428573</v>
      </c>
    </row>
    <row r="101" spans="1:15" ht="18">
      <c r="A101" s="12">
        <v>100</v>
      </c>
      <c r="B101" s="12">
        <v>61</v>
      </c>
      <c r="C101" s="12">
        <v>61118.61</v>
      </c>
      <c r="D101" s="12" t="s">
        <v>8</v>
      </c>
      <c r="E101" s="12" t="s">
        <v>12</v>
      </c>
      <c r="F101" s="12" t="s">
        <v>14</v>
      </c>
      <c r="G101" s="12" t="s">
        <v>16</v>
      </c>
      <c r="H101" s="12">
        <v>2</v>
      </c>
      <c r="I101" s="12">
        <v>2</v>
      </c>
      <c r="J101" s="12">
        <v>3</v>
      </c>
      <c r="K101" s="12">
        <f t="shared" si="3"/>
        <v>46</v>
      </c>
      <c r="L101" s="12" t="str">
        <f>IF(AND(B101&gt;=18, B101&lt;=30),
    IF(N101&gt;=3, "Young Professionals", "Other"),
    IF(AND(B101&gt;=60, N101&gt;=3),
        "Wealthy Seniors",
        IF(AND(B101&gt;=31, B101&lt;=59, N101&gt;=2),
            "Moderately Engaged Prof.",
            IF(AND(B101&gt;=60, N101&lt;2),
                "Low-Income Retirees", "Other"))))</f>
        <v>Wealthy Seniors</v>
      </c>
      <c r="M101" t="str">
        <f t="shared" si="4"/>
        <v>55+</v>
      </c>
      <c r="N101" s="26">
        <f>H101 + I101</f>
        <v>4</v>
      </c>
      <c r="O101" s="26">
        <f t="shared" si="5"/>
        <v>54385.223333333328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26C0-3335-EA4E-8CFA-01D43945D679}">
  <sheetPr>
    <tabColor rgb="FF00B0F0"/>
  </sheetPr>
  <dimension ref="A1:O101"/>
  <sheetViews>
    <sheetView topLeftCell="E1" workbookViewId="0">
      <selection activeCell="T20" sqref="T20"/>
    </sheetView>
  </sheetViews>
  <sheetFormatPr baseColWidth="10" defaultRowHeight="15"/>
  <cols>
    <col min="6" max="6" width="16.83203125" bestFit="1" customWidth="1"/>
    <col min="7" max="8" width="24.1640625" bestFit="1" customWidth="1"/>
    <col min="10" max="10" width="18" bestFit="1" customWidth="1"/>
    <col min="11" max="11" width="17.6640625" bestFit="1" customWidth="1"/>
    <col min="12" max="12" width="14.83203125" bestFit="1" customWidth="1"/>
    <col min="13" max="13" width="11.1640625" bestFit="1" customWidth="1"/>
    <col min="14" max="14" width="15.83203125" bestFit="1" customWidth="1"/>
    <col min="15" max="15" width="10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48</v>
      </c>
      <c r="J1" s="1" t="s">
        <v>49</v>
      </c>
    </row>
    <row r="2" spans="1:15">
      <c r="A2">
        <v>1</v>
      </c>
      <c r="B2">
        <v>56</v>
      </c>
      <c r="C2">
        <v>59544.58</v>
      </c>
      <c r="D2" t="s">
        <v>7</v>
      </c>
      <c r="E2" t="s">
        <v>9</v>
      </c>
      <c r="F2" t="s">
        <v>13</v>
      </c>
      <c r="G2" t="s">
        <v>16</v>
      </c>
      <c r="H2" t="str">
        <f>IF(C2&lt;38517.79,"Low Income",
    IF(C2&lt;61300.23,"Medium Income",
       "High Income"))</f>
        <v>Medium Income</v>
      </c>
      <c r="I2">
        <f>IF(AND(F2="High Spender",G2="Often Engaged"),3,
  IF(OR(F2="High Spender",G2="Often Engaged"),2,1))</f>
        <v>2</v>
      </c>
    </row>
    <row r="3" spans="1:15">
      <c r="A3">
        <v>2</v>
      </c>
      <c r="B3">
        <v>46</v>
      </c>
      <c r="C3">
        <v>36399.19</v>
      </c>
      <c r="D3" t="s">
        <v>7</v>
      </c>
      <c r="E3" t="s">
        <v>10</v>
      </c>
      <c r="F3" t="s">
        <v>14</v>
      </c>
      <c r="G3" t="s">
        <v>16</v>
      </c>
      <c r="H3" t="str">
        <f t="shared" ref="H3:H66" si="0">IF(C3&lt;38517.79,"Low Income",
    IF(C3&lt;61300.23,"Medium Income",
       "High Income"))</f>
        <v>Low Income</v>
      </c>
      <c r="I3">
        <f t="shared" ref="I3:I66" si="1">IF(AND(F3="High Spender",G3="Often Engaged"),3,
  IF(OR(F3="High Spender",G3="Often Engaged"),2,1))</f>
        <v>3</v>
      </c>
      <c r="K3" s="3" t="s">
        <v>28</v>
      </c>
      <c r="L3" s="3" t="s">
        <v>27</v>
      </c>
    </row>
    <row r="4" spans="1:15">
      <c r="A4">
        <v>3</v>
      </c>
      <c r="B4">
        <v>32</v>
      </c>
      <c r="C4">
        <v>57140.639999999999</v>
      </c>
      <c r="D4" t="s">
        <v>7</v>
      </c>
      <c r="E4" t="s">
        <v>9</v>
      </c>
      <c r="F4" t="s">
        <v>15</v>
      </c>
      <c r="G4" t="s">
        <v>17</v>
      </c>
      <c r="H4" t="str">
        <f t="shared" si="0"/>
        <v>Medium Income</v>
      </c>
      <c r="I4">
        <f t="shared" si="1"/>
        <v>1</v>
      </c>
      <c r="K4" s="3" t="s">
        <v>20</v>
      </c>
      <c r="L4" t="s">
        <v>14</v>
      </c>
      <c r="M4" t="s">
        <v>13</v>
      </c>
      <c r="N4" t="s">
        <v>15</v>
      </c>
      <c r="O4" t="s">
        <v>26</v>
      </c>
    </row>
    <row r="5" spans="1:15">
      <c r="A5">
        <v>4</v>
      </c>
      <c r="B5">
        <v>60</v>
      </c>
      <c r="C5">
        <v>69554.92</v>
      </c>
      <c r="D5" t="s">
        <v>8</v>
      </c>
      <c r="E5" t="s">
        <v>10</v>
      </c>
      <c r="F5" t="s">
        <v>13</v>
      </c>
      <c r="G5" t="s">
        <v>18</v>
      </c>
      <c r="H5" t="str">
        <f t="shared" si="0"/>
        <v>High Income</v>
      </c>
      <c r="I5">
        <f t="shared" si="1"/>
        <v>1</v>
      </c>
      <c r="K5" s="4" t="s">
        <v>45</v>
      </c>
      <c r="L5" s="10">
        <v>0.36</v>
      </c>
      <c r="M5" s="10">
        <v>0.32</v>
      </c>
      <c r="N5" s="10">
        <v>0.32</v>
      </c>
      <c r="O5" s="10">
        <v>1</v>
      </c>
    </row>
    <row r="6" spans="1:15">
      <c r="A6">
        <v>5</v>
      </c>
      <c r="B6">
        <v>25</v>
      </c>
      <c r="C6">
        <v>53173.81</v>
      </c>
      <c r="D6" t="s">
        <v>7</v>
      </c>
      <c r="E6" t="s">
        <v>9</v>
      </c>
      <c r="F6" t="s">
        <v>15</v>
      </c>
      <c r="G6" t="s">
        <v>16</v>
      </c>
      <c r="H6" t="str">
        <f t="shared" si="0"/>
        <v>Medium Income</v>
      </c>
      <c r="I6">
        <f t="shared" si="1"/>
        <v>2</v>
      </c>
      <c r="K6" s="4" t="s">
        <v>46</v>
      </c>
      <c r="L6" s="10">
        <v>0.36</v>
      </c>
      <c r="M6" s="10">
        <v>0.32</v>
      </c>
      <c r="N6" s="10">
        <v>0.32</v>
      </c>
      <c r="O6" s="10">
        <v>1</v>
      </c>
    </row>
    <row r="7" spans="1:15">
      <c r="A7">
        <v>6</v>
      </c>
      <c r="B7">
        <v>38</v>
      </c>
      <c r="C7">
        <v>58955.67</v>
      </c>
      <c r="D7" t="s">
        <v>7</v>
      </c>
      <c r="E7" t="s">
        <v>11</v>
      </c>
      <c r="F7" t="s">
        <v>14</v>
      </c>
      <c r="G7" t="s">
        <v>17</v>
      </c>
      <c r="H7" t="str">
        <f t="shared" si="0"/>
        <v>Medium Income</v>
      </c>
      <c r="I7">
        <f t="shared" si="1"/>
        <v>2</v>
      </c>
      <c r="K7" s="4" t="s">
        <v>47</v>
      </c>
      <c r="L7" s="10">
        <v>0.32</v>
      </c>
      <c r="M7" s="10">
        <v>0.18</v>
      </c>
      <c r="N7" s="10">
        <v>0.5</v>
      </c>
      <c r="O7" s="10">
        <v>1</v>
      </c>
    </row>
    <row r="8" spans="1:15">
      <c r="A8">
        <v>7</v>
      </c>
      <c r="B8">
        <v>56</v>
      </c>
      <c r="C8">
        <v>36554.97</v>
      </c>
      <c r="D8" t="s">
        <v>8</v>
      </c>
      <c r="E8" t="s">
        <v>9</v>
      </c>
      <c r="F8" t="s">
        <v>15</v>
      </c>
      <c r="G8" t="s">
        <v>18</v>
      </c>
      <c r="H8" t="str">
        <f t="shared" si="0"/>
        <v>Low Income</v>
      </c>
      <c r="I8">
        <f t="shared" si="1"/>
        <v>1</v>
      </c>
      <c r="K8" s="4" t="s">
        <v>26</v>
      </c>
      <c r="L8" s="10">
        <v>0.34</v>
      </c>
      <c r="M8" s="10">
        <v>0.25</v>
      </c>
      <c r="N8" s="10">
        <v>0.41</v>
      </c>
      <c r="O8" s="10">
        <v>1</v>
      </c>
    </row>
    <row r="9" spans="1:15">
      <c r="A9">
        <v>8</v>
      </c>
      <c r="B9">
        <v>36</v>
      </c>
      <c r="C9">
        <v>48320.18</v>
      </c>
      <c r="D9" t="s">
        <v>7</v>
      </c>
      <c r="E9" t="s">
        <v>11</v>
      </c>
      <c r="F9" t="s">
        <v>15</v>
      </c>
      <c r="G9" t="s">
        <v>17</v>
      </c>
      <c r="H9" t="str">
        <f t="shared" si="0"/>
        <v>Medium Income</v>
      </c>
      <c r="I9">
        <f t="shared" si="1"/>
        <v>1</v>
      </c>
    </row>
    <row r="10" spans="1:15">
      <c r="A10">
        <v>9</v>
      </c>
      <c r="B10">
        <v>40</v>
      </c>
      <c r="C10">
        <v>72034.12</v>
      </c>
      <c r="D10" t="s">
        <v>8</v>
      </c>
      <c r="E10" t="s">
        <v>9</v>
      </c>
      <c r="F10" t="s">
        <v>15</v>
      </c>
      <c r="G10" t="s">
        <v>16</v>
      </c>
      <c r="H10" t="str">
        <f t="shared" si="0"/>
        <v>High Income</v>
      </c>
      <c r="I10">
        <f t="shared" si="1"/>
        <v>2</v>
      </c>
    </row>
    <row r="11" spans="1:15">
      <c r="A11">
        <v>10</v>
      </c>
      <c r="B11">
        <v>28</v>
      </c>
      <c r="C11">
        <v>33141.519999999997</v>
      </c>
      <c r="D11" t="s">
        <v>7</v>
      </c>
      <c r="E11" t="s">
        <v>9</v>
      </c>
      <c r="F11" t="s">
        <v>15</v>
      </c>
      <c r="G11" t="s">
        <v>16</v>
      </c>
      <c r="H11" t="str">
        <f t="shared" si="0"/>
        <v>Low Income</v>
      </c>
      <c r="I11">
        <f t="shared" si="1"/>
        <v>2</v>
      </c>
    </row>
    <row r="12" spans="1:15">
      <c r="A12">
        <v>11</v>
      </c>
      <c r="B12">
        <v>28</v>
      </c>
      <c r="C12">
        <v>64250.080000000002</v>
      </c>
      <c r="D12" t="s">
        <v>7</v>
      </c>
      <c r="E12" t="s">
        <v>12</v>
      </c>
      <c r="F12" t="s">
        <v>14</v>
      </c>
      <c r="G12" t="s">
        <v>16</v>
      </c>
      <c r="H12" t="str">
        <f t="shared" si="0"/>
        <v>High Income</v>
      </c>
      <c r="I12">
        <f t="shared" si="1"/>
        <v>3</v>
      </c>
    </row>
    <row r="13" spans="1:15">
      <c r="A13">
        <v>12</v>
      </c>
      <c r="B13">
        <v>41</v>
      </c>
      <c r="C13">
        <v>75897.75</v>
      </c>
      <c r="D13" t="s">
        <v>7</v>
      </c>
      <c r="E13" t="s">
        <v>11</v>
      </c>
      <c r="F13" t="s">
        <v>15</v>
      </c>
      <c r="G13" t="s">
        <v>17</v>
      </c>
      <c r="H13" t="str">
        <f t="shared" si="0"/>
        <v>High Income</v>
      </c>
      <c r="I13">
        <f t="shared" si="1"/>
        <v>1</v>
      </c>
    </row>
    <row r="14" spans="1:15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 t="s">
        <v>17</v>
      </c>
      <c r="H14" t="str">
        <f t="shared" si="0"/>
        <v>Medium Income</v>
      </c>
      <c r="I14">
        <f t="shared" si="1"/>
        <v>1</v>
      </c>
      <c r="K14" s="31" t="s">
        <v>67</v>
      </c>
      <c r="L14" s="3" t="s">
        <v>27</v>
      </c>
    </row>
    <row r="15" spans="1:15">
      <c r="A15">
        <v>14</v>
      </c>
      <c r="B15">
        <v>57</v>
      </c>
      <c r="C15">
        <v>24735.69</v>
      </c>
      <c r="D15" t="s">
        <v>8</v>
      </c>
      <c r="E15" t="s">
        <v>11</v>
      </c>
      <c r="F15" t="s">
        <v>13</v>
      </c>
      <c r="G15" t="s">
        <v>16</v>
      </c>
      <c r="H15" t="str">
        <f t="shared" si="0"/>
        <v>Low Income</v>
      </c>
      <c r="I15">
        <f t="shared" si="1"/>
        <v>2</v>
      </c>
      <c r="K15" s="3" t="s">
        <v>20</v>
      </c>
      <c r="L15" t="s">
        <v>7</v>
      </c>
      <c r="M15" t="s">
        <v>8</v>
      </c>
      <c r="N15" t="s">
        <v>26</v>
      </c>
    </row>
    <row r="16" spans="1:15">
      <c r="A16">
        <v>15</v>
      </c>
      <c r="B16">
        <v>41</v>
      </c>
      <c r="C16">
        <v>54902.68</v>
      </c>
      <c r="D16" t="s">
        <v>7</v>
      </c>
      <c r="E16" t="s">
        <v>12</v>
      </c>
      <c r="F16" t="s">
        <v>15</v>
      </c>
      <c r="G16" t="s">
        <v>17</v>
      </c>
      <c r="H16" t="str">
        <f t="shared" si="0"/>
        <v>Medium Income</v>
      </c>
      <c r="I16">
        <f t="shared" si="1"/>
        <v>1</v>
      </c>
      <c r="K16" s="4" t="s">
        <v>17</v>
      </c>
      <c r="L16">
        <v>954491.84000000008</v>
      </c>
      <c r="M16">
        <v>615276.91000000015</v>
      </c>
      <c r="N16">
        <v>1569768.7500000002</v>
      </c>
    </row>
    <row r="17" spans="1:14">
      <c r="A17">
        <v>16</v>
      </c>
      <c r="B17">
        <v>20</v>
      </c>
      <c r="C17">
        <v>48783.22</v>
      </c>
      <c r="D17" t="s">
        <v>8</v>
      </c>
      <c r="E17" t="s">
        <v>10</v>
      </c>
      <c r="F17" t="s">
        <v>13</v>
      </c>
      <c r="G17" t="s">
        <v>16</v>
      </c>
      <c r="H17" t="str">
        <f t="shared" si="0"/>
        <v>Medium Income</v>
      </c>
      <c r="I17">
        <f t="shared" si="1"/>
        <v>2</v>
      </c>
      <c r="K17" s="4" t="s">
        <v>16</v>
      </c>
      <c r="L17">
        <v>1379630.1700000002</v>
      </c>
      <c r="M17">
        <v>1110521.68</v>
      </c>
      <c r="N17">
        <v>2490151.85</v>
      </c>
    </row>
    <row r="18" spans="1:14">
      <c r="A18">
        <v>17</v>
      </c>
      <c r="B18">
        <v>39</v>
      </c>
      <c r="C18">
        <v>57016.92</v>
      </c>
      <c r="D18" t="s">
        <v>8</v>
      </c>
      <c r="E18" t="s">
        <v>9</v>
      </c>
      <c r="F18" t="s">
        <v>14</v>
      </c>
      <c r="G18" t="s">
        <v>16</v>
      </c>
      <c r="H18" t="str">
        <f t="shared" si="0"/>
        <v>Medium Income</v>
      </c>
      <c r="I18">
        <f t="shared" si="1"/>
        <v>3</v>
      </c>
      <c r="K18" s="4" t="s">
        <v>18</v>
      </c>
      <c r="L18">
        <v>550663.27</v>
      </c>
      <c r="M18">
        <v>492180.47999999998</v>
      </c>
      <c r="N18">
        <v>1042843.75</v>
      </c>
    </row>
    <row r="19" spans="1:14">
      <c r="A19">
        <v>18</v>
      </c>
      <c r="B19">
        <v>19</v>
      </c>
      <c r="C19">
        <v>61041.84</v>
      </c>
      <c r="D19" t="s">
        <v>8</v>
      </c>
      <c r="E19" t="s">
        <v>11</v>
      </c>
      <c r="F19" t="s">
        <v>14</v>
      </c>
      <c r="G19" t="s">
        <v>18</v>
      </c>
      <c r="H19" t="str">
        <f t="shared" si="0"/>
        <v>Medium Income</v>
      </c>
      <c r="I19">
        <f t="shared" si="1"/>
        <v>2</v>
      </c>
      <c r="K19" s="4" t="s">
        <v>26</v>
      </c>
      <c r="L19">
        <v>2884785.2800000003</v>
      </c>
      <c r="M19">
        <v>2217979.0700000003</v>
      </c>
      <c r="N19">
        <v>5102764.3500000006</v>
      </c>
    </row>
    <row r="20" spans="1:14">
      <c r="A20">
        <v>19</v>
      </c>
      <c r="B20">
        <v>41</v>
      </c>
      <c r="C20">
        <v>38304.47</v>
      </c>
      <c r="D20" t="s">
        <v>8</v>
      </c>
      <c r="E20" t="s">
        <v>11</v>
      </c>
      <c r="F20" t="s">
        <v>14</v>
      </c>
      <c r="G20" t="s">
        <v>17</v>
      </c>
      <c r="H20" t="str">
        <f t="shared" si="0"/>
        <v>Low Income</v>
      </c>
      <c r="I20">
        <f t="shared" si="1"/>
        <v>2</v>
      </c>
    </row>
    <row r="21" spans="1:14">
      <c r="A21">
        <v>20</v>
      </c>
      <c r="B21">
        <v>61</v>
      </c>
      <c r="C21">
        <v>37341.550000000003</v>
      </c>
      <c r="D21" t="s">
        <v>8</v>
      </c>
      <c r="E21" t="s">
        <v>9</v>
      </c>
      <c r="F21" t="s">
        <v>14</v>
      </c>
      <c r="G21" t="s">
        <v>16</v>
      </c>
      <c r="H21" t="str">
        <f t="shared" si="0"/>
        <v>Low Income</v>
      </c>
      <c r="I21">
        <f t="shared" si="1"/>
        <v>3</v>
      </c>
    </row>
    <row r="22" spans="1:14">
      <c r="A22">
        <v>21</v>
      </c>
      <c r="B22">
        <v>47</v>
      </c>
      <c r="C22">
        <v>47741.99</v>
      </c>
      <c r="D22" t="s">
        <v>8</v>
      </c>
      <c r="E22" t="s">
        <v>11</v>
      </c>
      <c r="F22" t="s">
        <v>13</v>
      </c>
      <c r="G22" t="s">
        <v>16</v>
      </c>
      <c r="H22" t="str">
        <f t="shared" si="0"/>
        <v>Medium Income</v>
      </c>
      <c r="I22">
        <f t="shared" si="1"/>
        <v>2</v>
      </c>
    </row>
    <row r="23" spans="1:14">
      <c r="A23">
        <v>22</v>
      </c>
      <c r="B23">
        <v>55</v>
      </c>
      <c r="C23">
        <v>35516.629999999997</v>
      </c>
      <c r="D23" t="s">
        <v>7</v>
      </c>
      <c r="E23" t="s">
        <v>11</v>
      </c>
      <c r="F23" t="s">
        <v>15</v>
      </c>
      <c r="G23" t="s">
        <v>17</v>
      </c>
      <c r="H23" t="str">
        <f t="shared" si="0"/>
        <v>Low Income</v>
      </c>
      <c r="I23">
        <f t="shared" si="1"/>
        <v>1</v>
      </c>
    </row>
    <row r="24" spans="1:14">
      <c r="A24">
        <v>23</v>
      </c>
      <c r="B24">
        <v>19</v>
      </c>
      <c r="C24">
        <v>52257.34</v>
      </c>
      <c r="D24" t="s">
        <v>7</v>
      </c>
      <c r="E24" t="s">
        <v>12</v>
      </c>
      <c r="F24" t="s">
        <v>14</v>
      </c>
      <c r="G24" t="s">
        <v>18</v>
      </c>
      <c r="H24" t="str">
        <f t="shared" si="0"/>
        <v>Medium Income</v>
      </c>
      <c r="I24">
        <f t="shared" si="1"/>
        <v>2</v>
      </c>
    </row>
    <row r="25" spans="1:14">
      <c r="A25">
        <v>24</v>
      </c>
      <c r="B25">
        <v>38</v>
      </c>
      <c r="C25">
        <v>48298.68</v>
      </c>
      <c r="D25" t="s">
        <v>8</v>
      </c>
      <c r="E25" t="s">
        <v>11</v>
      </c>
      <c r="F25" t="s">
        <v>15</v>
      </c>
      <c r="G25" t="s">
        <v>18</v>
      </c>
      <c r="H25" t="str">
        <f t="shared" si="0"/>
        <v>Medium Income</v>
      </c>
      <c r="I25">
        <f t="shared" si="1"/>
        <v>1</v>
      </c>
    </row>
    <row r="26" spans="1:14">
      <c r="A26">
        <v>25</v>
      </c>
      <c r="B26">
        <v>50</v>
      </c>
      <c r="C26">
        <v>89502.92</v>
      </c>
      <c r="D26" t="s">
        <v>7</v>
      </c>
      <c r="E26" t="s">
        <v>10</v>
      </c>
      <c r="F26" t="s">
        <v>13</v>
      </c>
      <c r="G26" t="s">
        <v>16</v>
      </c>
      <c r="H26" t="str">
        <f t="shared" si="0"/>
        <v>High Income</v>
      </c>
      <c r="I26">
        <f t="shared" si="1"/>
        <v>2</v>
      </c>
    </row>
    <row r="27" spans="1:14">
      <c r="A27">
        <v>26</v>
      </c>
      <c r="B27">
        <v>29</v>
      </c>
      <c r="C27">
        <v>34623.64</v>
      </c>
      <c r="D27" t="s">
        <v>7</v>
      </c>
      <c r="E27" t="s">
        <v>10</v>
      </c>
      <c r="F27" t="s">
        <v>13</v>
      </c>
      <c r="G27" t="s">
        <v>17</v>
      </c>
      <c r="H27" t="str">
        <f t="shared" si="0"/>
        <v>Low Income</v>
      </c>
      <c r="I27">
        <f t="shared" si="1"/>
        <v>1</v>
      </c>
    </row>
    <row r="28" spans="1:14">
      <c r="A28">
        <v>27</v>
      </c>
      <c r="B28">
        <v>39</v>
      </c>
      <c r="C28">
        <v>38269.279999999999</v>
      </c>
      <c r="D28" t="s">
        <v>7</v>
      </c>
      <c r="E28" t="s">
        <v>9</v>
      </c>
      <c r="F28" t="s">
        <v>13</v>
      </c>
      <c r="G28" t="s">
        <v>18</v>
      </c>
      <c r="H28" t="str">
        <f t="shared" si="0"/>
        <v>Low Income</v>
      </c>
      <c r="I28">
        <f t="shared" si="1"/>
        <v>1</v>
      </c>
    </row>
    <row r="29" spans="1:14">
      <c r="A29">
        <v>28</v>
      </c>
      <c r="B29">
        <v>61</v>
      </c>
      <c r="C29">
        <v>56359.15</v>
      </c>
      <c r="D29" t="s">
        <v>7</v>
      </c>
      <c r="E29" t="s">
        <v>11</v>
      </c>
      <c r="F29" t="s">
        <v>14</v>
      </c>
      <c r="G29" t="s">
        <v>17</v>
      </c>
      <c r="H29" t="str">
        <f t="shared" si="0"/>
        <v>Medium Income</v>
      </c>
      <c r="I29">
        <f t="shared" si="1"/>
        <v>2</v>
      </c>
    </row>
    <row r="30" spans="1:14">
      <c r="A30">
        <v>29</v>
      </c>
      <c r="B30">
        <v>42</v>
      </c>
      <c r="C30">
        <v>63090.58</v>
      </c>
      <c r="D30" t="s">
        <v>8</v>
      </c>
      <c r="E30" t="s">
        <v>9</v>
      </c>
      <c r="F30" t="s">
        <v>15</v>
      </c>
      <c r="G30" t="s">
        <v>17</v>
      </c>
      <c r="H30" t="str">
        <f t="shared" si="0"/>
        <v>High Income</v>
      </c>
      <c r="I30">
        <f t="shared" si="1"/>
        <v>1</v>
      </c>
    </row>
    <row r="31" spans="1:14">
      <c r="A31">
        <v>30</v>
      </c>
      <c r="B31">
        <v>44</v>
      </c>
      <c r="C31">
        <v>84308.39</v>
      </c>
      <c r="D31" t="s">
        <v>7</v>
      </c>
      <c r="E31" t="s">
        <v>10</v>
      </c>
      <c r="F31" t="s">
        <v>15</v>
      </c>
      <c r="G31" t="s">
        <v>16</v>
      </c>
      <c r="H31" t="str">
        <f t="shared" si="0"/>
        <v>High Income</v>
      </c>
      <c r="I31">
        <f t="shared" si="1"/>
        <v>2</v>
      </c>
    </row>
    <row r="32" spans="1:14">
      <c r="A32">
        <v>31</v>
      </c>
      <c r="B32">
        <v>59</v>
      </c>
      <c r="C32">
        <v>74343.81</v>
      </c>
      <c r="D32" t="s">
        <v>7</v>
      </c>
      <c r="E32" t="s">
        <v>11</v>
      </c>
      <c r="F32" t="s">
        <v>15</v>
      </c>
      <c r="G32" t="s">
        <v>18</v>
      </c>
      <c r="H32" t="str">
        <f t="shared" si="0"/>
        <v>High Income</v>
      </c>
      <c r="I32">
        <f t="shared" si="1"/>
        <v>1</v>
      </c>
    </row>
    <row r="33" spans="1:9">
      <c r="A33">
        <v>32</v>
      </c>
      <c r="B33">
        <v>45</v>
      </c>
      <c r="C33">
        <v>62356</v>
      </c>
      <c r="D33" t="s">
        <v>8</v>
      </c>
      <c r="E33" t="s">
        <v>11</v>
      </c>
      <c r="F33" t="s">
        <v>13</v>
      </c>
      <c r="G33" t="s">
        <v>16</v>
      </c>
      <c r="H33" t="str">
        <f t="shared" si="0"/>
        <v>High Income</v>
      </c>
      <c r="I33">
        <f t="shared" si="1"/>
        <v>2</v>
      </c>
    </row>
    <row r="34" spans="1:9">
      <c r="A34">
        <v>33</v>
      </c>
      <c r="B34">
        <v>33</v>
      </c>
      <c r="C34">
        <v>54395.89</v>
      </c>
      <c r="D34" t="s">
        <v>8</v>
      </c>
      <c r="E34" t="s">
        <v>9</v>
      </c>
      <c r="F34" t="s">
        <v>14</v>
      </c>
      <c r="G34" t="s">
        <v>18</v>
      </c>
      <c r="H34" t="str">
        <f t="shared" si="0"/>
        <v>Medium Income</v>
      </c>
      <c r="I34">
        <f t="shared" si="1"/>
        <v>2</v>
      </c>
    </row>
    <row r="35" spans="1:9">
      <c r="A35">
        <v>34</v>
      </c>
      <c r="B35">
        <v>32</v>
      </c>
      <c r="C35">
        <v>63449.46</v>
      </c>
      <c r="D35" t="s">
        <v>7</v>
      </c>
      <c r="E35" t="s">
        <v>10</v>
      </c>
      <c r="F35" t="s">
        <v>13</v>
      </c>
      <c r="G35" t="s">
        <v>18</v>
      </c>
      <c r="H35" t="str">
        <f t="shared" si="0"/>
        <v>High Income</v>
      </c>
      <c r="I35">
        <f t="shared" si="1"/>
        <v>1</v>
      </c>
    </row>
    <row r="36" spans="1:9">
      <c r="A36">
        <v>35</v>
      </c>
      <c r="B36">
        <v>64</v>
      </c>
      <c r="C36">
        <v>40845.17</v>
      </c>
      <c r="D36" t="s">
        <v>7</v>
      </c>
      <c r="E36" t="s">
        <v>11</v>
      </c>
      <c r="F36" t="s">
        <v>13</v>
      </c>
      <c r="G36" t="s">
        <v>18</v>
      </c>
      <c r="H36" t="str">
        <f t="shared" si="0"/>
        <v>Medium Income</v>
      </c>
      <c r="I36">
        <f t="shared" si="1"/>
        <v>1</v>
      </c>
    </row>
    <row r="37" spans="1:9">
      <c r="A37">
        <v>36</v>
      </c>
      <c r="B37">
        <v>61</v>
      </c>
      <c r="C37">
        <v>45257.51</v>
      </c>
      <c r="D37" t="s">
        <v>7</v>
      </c>
      <c r="E37" t="s">
        <v>9</v>
      </c>
      <c r="F37" t="s">
        <v>15</v>
      </c>
      <c r="G37" t="s">
        <v>18</v>
      </c>
      <c r="H37" t="str">
        <f t="shared" si="0"/>
        <v>Medium Income</v>
      </c>
      <c r="I37">
        <f t="shared" si="1"/>
        <v>1</v>
      </c>
    </row>
    <row r="38" spans="1:9">
      <c r="A38">
        <v>37</v>
      </c>
      <c r="B38">
        <v>20</v>
      </c>
      <c r="C38">
        <v>27763.64</v>
      </c>
      <c r="D38" t="s">
        <v>7</v>
      </c>
      <c r="E38" t="s">
        <v>10</v>
      </c>
      <c r="F38" t="s">
        <v>13</v>
      </c>
      <c r="G38" t="s">
        <v>18</v>
      </c>
      <c r="H38" t="str">
        <f t="shared" si="0"/>
        <v>Low Income</v>
      </c>
      <c r="I38">
        <f t="shared" si="1"/>
        <v>1</v>
      </c>
    </row>
    <row r="39" spans="1:9">
      <c r="A39">
        <v>38</v>
      </c>
      <c r="B39">
        <v>54</v>
      </c>
      <c r="C39">
        <v>46567.29</v>
      </c>
      <c r="D39" t="s">
        <v>7</v>
      </c>
      <c r="E39" t="s">
        <v>9</v>
      </c>
      <c r="F39" t="s">
        <v>15</v>
      </c>
      <c r="G39" t="s">
        <v>17</v>
      </c>
      <c r="H39" t="str">
        <f t="shared" si="0"/>
        <v>Medium Income</v>
      </c>
      <c r="I39">
        <f t="shared" si="1"/>
        <v>1</v>
      </c>
    </row>
    <row r="40" spans="1:9">
      <c r="A40">
        <v>39</v>
      </c>
      <c r="B40">
        <v>24</v>
      </c>
      <c r="C40">
        <v>64439.62</v>
      </c>
      <c r="D40" t="s">
        <v>7</v>
      </c>
      <c r="E40" t="s">
        <v>12</v>
      </c>
      <c r="F40" t="s">
        <v>14</v>
      </c>
      <c r="G40" t="s">
        <v>16</v>
      </c>
      <c r="H40" t="str">
        <f t="shared" si="0"/>
        <v>High Income</v>
      </c>
      <c r="I40">
        <f t="shared" si="1"/>
        <v>3</v>
      </c>
    </row>
    <row r="41" spans="1:9">
      <c r="A41">
        <v>40</v>
      </c>
      <c r="B41">
        <v>38</v>
      </c>
      <c r="C41">
        <v>46854.61</v>
      </c>
      <c r="D41" t="s">
        <v>8</v>
      </c>
      <c r="E41" t="s">
        <v>11</v>
      </c>
      <c r="F41" t="s">
        <v>15</v>
      </c>
      <c r="G41" t="s">
        <v>17</v>
      </c>
      <c r="H41" t="str">
        <f t="shared" si="0"/>
        <v>Medium Income</v>
      </c>
      <c r="I41">
        <f t="shared" si="1"/>
        <v>1</v>
      </c>
    </row>
    <row r="42" spans="1:9">
      <c r="A42">
        <v>41</v>
      </c>
      <c r="B42">
        <v>26</v>
      </c>
      <c r="C42">
        <v>38389.360000000001</v>
      </c>
      <c r="D42" t="s">
        <v>7</v>
      </c>
      <c r="E42" t="s">
        <v>12</v>
      </c>
      <c r="F42" t="s">
        <v>14</v>
      </c>
      <c r="G42" t="s">
        <v>18</v>
      </c>
      <c r="H42" t="str">
        <f t="shared" si="0"/>
        <v>Low Income</v>
      </c>
      <c r="I42">
        <f t="shared" si="1"/>
        <v>2</v>
      </c>
    </row>
    <row r="43" spans="1:9">
      <c r="A43">
        <v>42</v>
      </c>
      <c r="B43">
        <v>56</v>
      </c>
      <c r="C43">
        <v>44603.33</v>
      </c>
      <c r="D43" t="s">
        <v>7</v>
      </c>
      <c r="E43" t="s">
        <v>10</v>
      </c>
      <c r="F43" t="s">
        <v>15</v>
      </c>
      <c r="G43" t="s">
        <v>16</v>
      </c>
      <c r="H43" t="str">
        <f t="shared" si="0"/>
        <v>Medium Income</v>
      </c>
      <c r="I43">
        <f t="shared" si="1"/>
        <v>2</v>
      </c>
    </row>
    <row r="44" spans="1:9">
      <c r="A44">
        <v>43</v>
      </c>
      <c r="B44">
        <v>35</v>
      </c>
      <c r="C44">
        <v>60861.25</v>
      </c>
      <c r="D44" t="s">
        <v>8</v>
      </c>
      <c r="E44" t="s">
        <v>12</v>
      </c>
      <c r="F44" t="s">
        <v>13</v>
      </c>
      <c r="G44" t="s">
        <v>18</v>
      </c>
      <c r="H44" t="str">
        <f t="shared" si="0"/>
        <v>Medium Income</v>
      </c>
      <c r="I44">
        <f t="shared" si="1"/>
        <v>1</v>
      </c>
    </row>
    <row r="45" spans="1:9">
      <c r="A45">
        <v>44</v>
      </c>
      <c r="B45">
        <v>21</v>
      </c>
      <c r="C45">
        <v>46163.53</v>
      </c>
      <c r="D45" t="s">
        <v>8</v>
      </c>
      <c r="E45" t="s">
        <v>12</v>
      </c>
      <c r="F45" t="s">
        <v>13</v>
      </c>
      <c r="G45" t="s">
        <v>16</v>
      </c>
      <c r="H45" t="str">
        <f t="shared" si="0"/>
        <v>Medium Income</v>
      </c>
      <c r="I45">
        <f t="shared" si="1"/>
        <v>2</v>
      </c>
    </row>
    <row r="46" spans="1:9">
      <c r="A46">
        <v>45</v>
      </c>
      <c r="B46">
        <v>42</v>
      </c>
      <c r="C46">
        <v>62748.82</v>
      </c>
      <c r="D46" t="s">
        <v>8</v>
      </c>
      <c r="E46" t="s">
        <v>10</v>
      </c>
      <c r="F46" t="s">
        <v>14</v>
      </c>
      <c r="G46" t="s">
        <v>17</v>
      </c>
      <c r="H46" t="str">
        <f t="shared" si="0"/>
        <v>High Income</v>
      </c>
      <c r="I46">
        <f t="shared" si="1"/>
        <v>2</v>
      </c>
    </row>
    <row r="47" spans="1:9">
      <c r="A47">
        <v>46</v>
      </c>
      <c r="B47">
        <v>31</v>
      </c>
      <c r="C47">
        <v>30330.14</v>
      </c>
      <c r="D47" t="s">
        <v>8</v>
      </c>
      <c r="E47" t="s">
        <v>9</v>
      </c>
      <c r="F47" t="s">
        <v>14</v>
      </c>
      <c r="G47" t="s">
        <v>16</v>
      </c>
      <c r="H47" t="str">
        <f t="shared" si="0"/>
        <v>Low Income</v>
      </c>
      <c r="I47">
        <f t="shared" si="1"/>
        <v>3</v>
      </c>
    </row>
    <row r="48" spans="1:9">
      <c r="A48">
        <v>47</v>
      </c>
      <c r="B48">
        <v>26</v>
      </c>
      <c r="C48">
        <v>36945.43</v>
      </c>
      <c r="D48" t="s">
        <v>7</v>
      </c>
      <c r="E48" t="s">
        <v>12</v>
      </c>
      <c r="F48" t="s">
        <v>14</v>
      </c>
      <c r="G48" t="s">
        <v>16</v>
      </c>
      <c r="H48" t="str">
        <f t="shared" si="0"/>
        <v>Low Income</v>
      </c>
      <c r="I48">
        <f t="shared" si="1"/>
        <v>3</v>
      </c>
    </row>
    <row r="49" spans="1:9">
      <c r="A49">
        <v>48</v>
      </c>
      <c r="B49">
        <v>43</v>
      </c>
      <c r="C49">
        <v>42400.35</v>
      </c>
      <c r="D49" t="s">
        <v>7</v>
      </c>
      <c r="E49" t="s">
        <v>9</v>
      </c>
      <c r="F49" t="s">
        <v>15</v>
      </c>
      <c r="G49" t="s">
        <v>16</v>
      </c>
      <c r="H49" t="str">
        <f t="shared" si="0"/>
        <v>Medium Income</v>
      </c>
      <c r="I49">
        <f t="shared" si="1"/>
        <v>2</v>
      </c>
    </row>
    <row r="50" spans="1:9">
      <c r="A50">
        <v>49</v>
      </c>
      <c r="B50">
        <v>19</v>
      </c>
      <c r="C50">
        <v>30350.74</v>
      </c>
      <c r="D50" t="s">
        <v>7</v>
      </c>
      <c r="E50" t="s">
        <v>12</v>
      </c>
      <c r="F50" t="s">
        <v>15</v>
      </c>
      <c r="G50" t="s">
        <v>16</v>
      </c>
      <c r="H50" t="str">
        <f t="shared" si="0"/>
        <v>Low Income</v>
      </c>
      <c r="I50">
        <f t="shared" si="1"/>
        <v>2</v>
      </c>
    </row>
    <row r="51" spans="1:9">
      <c r="A51">
        <v>50</v>
      </c>
      <c r="B51">
        <v>37</v>
      </c>
      <c r="C51">
        <v>94154.95</v>
      </c>
      <c r="D51" t="s">
        <v>7</v>
      </c>
      <c r="E51" t="s">
        <v>9</v>
      </c>
      <c r="F51" t="s">
        <v>14</v>
      </c>
      <c r="G51" t="s">
        <v>16</v>
      </c>
      <c r="H51" t="str">
        <f t="shared" si="0"/>
        <v>High Income</v>
      </c>
      <c r="I51">
        <f t="shared" si="1"/>
        <v>3</v>
      </c>
    </row>
    <row r="52" spans="1:9">
      <c r="A52">
        <v>51</v>
      </c>
      <c r="B52">
        <v>45</v>
      </c>
      <c r="C52">
        <v>33556.01</v>
      </c>
      <c r="D52" t="s">
        <v>7</v>
      </c>
      <c r="E52" t="s">
        <v>10</v>
      </c>
      <c r="F52" t="s">
        <v>13</v>
      </c>
      <c r="G52" t="s">
        <v>18</v>
      </c>
      <c r="H52" t="str">
        <f t="shared" si="0"/>
        <v>Low Income</v>
      </c>
      <c r="I52">
        <f t="shared" si="1"/>
        <v>1</v>
      </c>
    </row>
    <row r="53" spans="1:9">
      <c r="A53">
        <v>52</v>
      </c>
      <c r="B53">
        <v>64</v>
      </c>
      <c r="C53">
        <v>63723.26</v>
      </c>
      <c r="D53" t="s">
        <v>7</v>
      </c>
      <c r="E53" t="s">
        <v>12</v>
      </c>
      <c r="F53" t="s">
        <v>15</v>
      </c>
      <c r="G53" t="s">
        <v>16</v>
      </c>
      <c r="H53" t="str">
        <f t="shared" si="0"/>
        <v>High Income</v>
      </c>
      <c r="I53">
        <f t="shared" si="1"/>
        <v>2</v>
      </c>
    </row>
    <row r="54" spans="1:9">
      <c r="A54">
        <v>53</v>
      </c>
      <c r="B54">
        <v>24</v>
      </c>
      <c r="C54">
        <v>40009.089999999997</v>
      </c>
      <c r="D54" t="s">
        <v>8</v>
      </c>
      <c r="E54" t="s">
        <v>10</v>
      </c>
      <c r="F54" t="s">
        <v>15</v>
      </c>
      <c r="G54" t="s">
        <v>16</v>
      </c>
      <c r="H54" t="str">
        <f t="shared" si="0"/>
        <v>Medium Income</v>
      </c>
      <c r="I54">
        <f t="shared" si="1"/>
        <v>2</v>
      </c>
    </row>
    <row r="55" spans="1:9">
      <c r="A55">
        <v>54</v>
      </c>
      <c r="B55">
        <v>61</v>
      </c>
      <c r="C55">
        <v>42293.19</v>
      </c>
      <c r="D55" t="s">
        <v>7</v>
      </c>
      <c r="E55" t="s">
        <v>12</v>
      </c>
      <c r="F55" t="s">
        <v>15</v>
      </c>
      <c r="G55" t="s">
        <v>17</v>
      </c>
      <c r="H55" t="str">
        <f t="shared" si="0"/>
        <v>Medium Income</v>
      </c>
      <c r="I55">
        <f t="shared" si="1"/>
        <v>1</v>
      </c>
    </row>
    <row r="56" spans="1:9">
      <c r="A56">
        <v>55</v>
      </c>
      <c r="B56">
        <v>25</v>
      </c>
      <c r="C56">
        <v>54519.839999999997</v>
      </c>
      <c r="D56" t="s">
        <v>8</v>
      </c>
      <c r="E56" t="s">
        <v>10</v>
      </c>
      <c r="F56" t="s">
        <v>14</v>
      </c>
      <c r="G56" t="s">
        <v>16</v>
      </c>
      <c r="H56" t="str">
        <f t="shared" si="0"/>
        <v>Medium Income</v>
      </c>
      <c r="I56">
        <f t="shared" si="1"/>
        <v>3</v>
      </c>
    </row>
    <row r="57" spans="1:9">
      <c r="A57">
        <v>56</v>
      </c>
      <c r="B57">
        <v>64</v>
      </c>
      <c r="C57">
        <v>28122.25</v>
      </c>
      <c r="D57" t="s">
        <v>8</v>
      </c>
      <c r="E57" t="s">
        <v>10</v>
      </c>
      <c r="F57" t="s">
        <v>14</v>
      </c>
      <c r="G57" t="s">
        <v>17</v>
      </c>
      <c r="H57" t="str">
        <f t="shared" si="0"/>
        <v>Low Income</v>
      </c>
      <c r="I57">
        <f t="shared" si="1"/>
        <v>2</v>
      </c>
    </row>
    <row r="58" spans="1:9">
      <c r="A58">
        <v>57</v>
      </c>
      <c r="B58">
        <v>52</v>
      </c>
      <c r="C58">
        <v>40058.93</v>
      </c>
      <c r="D58" t="s">
        <v>7</v>
      </c>
      <c r="E58" t="s">
        <v>12</v>
      </c>
      <c r="F58" t="s">
        <v>14</v>
      </c>
      <c r="G58" t="s">
        <v>18</v>
      </c>
      <c r="H58" t="str">
        <f t="shared" si="0"/>
        <v>Medium Income</v>
      </c>
      <c r="I58">
        <f t="shared" si="1"/>
        <v>2</v>
      </c>
    </row>
    <row r="59" spans="1:9">
      <c r="A59">
        <v>58</v>
      </c>
      <c r="B59">
        <v>31</v>
      </c>
      <c r="C59">
        <v>47802.91</v>
      </c>
      <c r="D59" t="s">
        <v>8</v>
      </c>
      <c r="E59" t="s">
        <v>12</v>
      </c>
      <c r="F59" t="s">
        <v>14</v>
      </c>
      <c r="G59" t="s">
        <v>16</v>
      </c>
      <c r="H59" t="str">
        <f t="shared" si="0"/>
        <v>Medium Income</v>
      </c>
      <c r="I59">
        <f t="shared" si="1"/>
        <v>3</v>
      </c>
    </row>
    <row r="60" spans="1:9">
      <c r="A60">
        <v>59</v>
      </c>
      <c r="B60">
        <v>34</v>
      </c>
      <c r="C60">
        <v>37309.74</v>
      </c>
      <c r="D60" t="s">
        <v>7</v>
      </c>
      <c r="E60" t="s">
        <v>12</v>
      </c>
      <c r="F60" t="s">
        <v>14</v>
      </c>
      <c r="G60" t="s">
        <v>17</v>
      </c>
      <c r="H60" t="str">
        <f t="shared" si="0"/>
        <v>Low Income</v>
      </c>
      <c r="I60">
        <f t="shared" si="1"/>
        <v>2</v>
      </c>
    </row>
    <row r="61" spans="1:9">
      <c r="A61">
        <v>60</v>
      </c>
      <c r="B61">
        <v>53</v>
      </c>
      <c r="C61">
        <v>37662.660000000003</v>
      </c>
      <c r="D61" t="s">
        <v>8</v>
      </c>
      <c r="E61" t="s">
        <v>11</v>
      </c>
      <c r="F61" t="s">
        <v>13</v>
      </c>
      <c r="G61" t="s">
        <v>17</v>
      </c>
      <c r="H61" t="str">
        <f t="shared" si="0"/>
        <v>Low Income</v>
      </c>
      <c r="I61">
        <f t="shared" si="1"/>
        <v>1</v>
      </c>
    </row>
    <row r="62" spans="1:9">
      <c r="A62">
        <v>61</v>
      </c>
      <c r="B62">
        <v>57</v>
      </c>
      <c r="C62">
        <v>66300.91</v>
      </c>
      <c r="D62" t="s">
        <v>7</v>
      </c>
      <c r="E62" t="s">
        <v>9</v>
      </c>
      <c r="F62" t="s">
        <v>13</v>
      </c>
      <c r="G62" t="s">
        <v>18</v>
      </c>
      <c r="H62" t="str">
        <f t="shared" si="0"/>
        <v>High Income</v>
      </c>
      <c r="I62">
        <f t="shared" si="1"/>
        <v>1</v>
      </c>
    </row>
    <row r="63" spans="1:9">
      <c r="A63">
        <v>62</v>
      </c>
      <c r="B63">
        <v>21</v>
      </c>
      <c r="C63">
        <v>65074.8</v>
      </c>
      <c r="D63" t="s">
        <v>8</v>
      </c>
      <c r="E63" t="s">
        <v>11</v>
      </c>
      <c r="F63" t="s">
        <v>14</v>
      </c>
      <c r="G63" t="s">
        <v>16</v>
      </c>
      <c r="H63" t="str">
        <f t="shared" si="0"/>
        <v>High Income</v>
      </c>
      <c r="I63">
        <f t="shared" si="1"/>
        <v>3</v>
      </c>
    </row>
    <row r="64" spans="1:9">
      <c r="A64">
        <v>63</v>
      </c>
      <c r="B64">
        <v>19</v>
      </c>
      <c r="C64">
        <v>43373.51</v>
      </c>
      <c r="D64" t="s">
        <v>7</v>
      </c>
      <c r="E64" t="s">
        <v>11</v>
      </c>
      <c r="F64" t="s">
        <v>15</v>
      </c>
      <c r="G64" t="s">
        <v>16</v>
      </c>
      <c r="H64" t="str">
        <f t="shared" si="0"/>
        <v>Medium Income</v>
      </c>
      <c r="I64">
        <f t="shared" si="1"/>
        <v>2</v>
      </c>
    </row>
    <row r="65" spans="1:9">
      <c r="A65">
        <v>64</v>
      </c>
      <c r="B65">
        <v>23</v>
      </c>
      <c r="C65">
        <v>48737.52</v>
      </c>
      <c r="D65" t="s">
        <v>7</v>
      </c>
      <c r="E65" t="s">
        <v>10</v>
      </c>
      <c r="F65" t="s">
        <v>14</v>
      </c>
      <c r="G65" t="s">
        <v>17</v>
      </c>
      <c r="H65" t="str">
        <f t="shared" si="0"/>
        <v>Medium Income</v>
      </c>
      <c r="I65">
        <f t="shared" si="1"/>
        <v>2</v>
      </c>
    </row>
    <row r="66" spans="1:9">
      <c r="A66">
        <v>65</v>
      </c>
      <c r="B66">
        <v>59</v>
      </c>
      <c r="C66">
        <v>68555.240000000005</v>
      </c>
      <c r="D66" t="s">
        <v>7</v>
      </c>
      <c r="E66" t="s">
        <v>12</v>
      </c>
      <c r="F66" t="s">
        <v>13</v>
      </c>
      <c r="G66" t="s">
        <v>16</v>
      </c>
      <c r="H66" t="str">
        <f t="shared" si="0"/>
        <v>High Income</v>
      </c>
      <c r="I66">
        <f t="shared" si="1"/>
        <v>2</v>
      </c>
    </row>
    <row r="67" spans="1:9">
      <c r="A67">
        <v>66</v>
      </c>
      <c r="B67">
        <v>21</v>
      </c>
      <c r="C67">
        <v>28602.82</v>
      </c>
      <c r="D67" t="s">
        <v>7</v>
      </c>
      <c r="E67" t="s">
        <v>9</v>
      </c>
      <c r="F67" t="s">
        <v>13</v>
      </c>
      <c r="G67" t="s">
        <v>17</v>
      </c>
      <c r="H67" t="str">
        <f t="shared" ref="H67:H101" si="2">IF(C67&lt;38517.79,"Low Income",
    IF(C67&lt;61300.23,"Medium Income",
       "High Income"))</f>
        <v>Low Income</v>
      </c>
      <c r="I67">
        <f t="shared" ref="I67:I101" si="3">IF(AND(F67="High Spender",G67="Often Engaged"),3,
  IF(OR(F67="High Spender",G67="Often Engaged"),2,1))</f>
        <v>1</v>
      </c>
    </row>
    <row r="68" spans="1:9">
      <c r="A68">
        <v>67</v>
      </c>
      <c r="B68">
        <v>46</v>
      </c>
      <c r="C68">
        <v>55070.34</v>
      </c>
      <c r="D68" t="s">
        <v>7</v>
      </c>
      <c r="E68" t="s">
        <v>10</v>
      </c>
      <c r="F68" t="s">
        <v>15</v>
      </c>
      <c r="G68" t="s">
        <v>16</v>
      </c>
      <c r="H68" t="str">
        <f t="shared" si="2"/>
        <v>Medium Income</v>
      </c>
      <c r="I68">
        <f t="shared" si="3"/>
        <v>2</v>
      </c>
    </row>
    <row r="69" spans="1:9">
      <c r="A69">
        <v>68</v>
      </c>
      <c r="B69">
        <v>35</v>
      </c>
      <c r="C69">
        <v>79618.570000000007</v>
      </c>
      <c r="D69" t="s">
        <v>8</v>
      </c>
      <c r="E69" t="s">
        <v>11</v>
      </c>
      <c r="F69" t="s">
        <v>13</v>
      </c>
      <c r="G69" t="s">
        <v>17</v>
      </c>
      <c r="H69" t="str">
        <f t="shared" si="2"/>
        <v>High Income</v>
      </c>
      <c r="I69">
        <f t="shared" si="3"/>
        <v>1</v>
      </c>
    </row>
    <row r="70" spans="1:9">
      <c r="A70">
        <v>69</v>
      </c>
      <c r="B70">
        <v>43</v>
      </c>
      <c r="C70">
        <v>79475.520000000004</v>
      </c>
      <c r="D70" t="s">
        <v>8</v>
      </c>
      <c r="E70" t="s">
        <v>12</v>
      </c>
      <c r="F70" t="s">
        <v>14</v>
      </c>
      <c r="G70" t="s">
        <v>16</v>
      </c>
      <c r="H70" t="str">
        <f t="shared" si="2"/>
        <v>High Income</v>
      </c>
      <c r="I70">
        <f t="shared" si="3"/>
        <v>3</v>
      </c>
    </row>
    <row r="71" spans="1:9">
      <c r="A71">
        <v>70</v>
      </c>
      <c r="B71">
        <v>61</v>
      </c>
      <c r="C71">
        <v>20901.330000000002</v>
      </c>
      <c r="D71" t="s">
        <v>8</v>
      </c>
      <c r="E71" t="s">
        <v>10</v>
      </c>
      <c r="F71" t="s">
        <v>15</v>
      </c>
      <c r="G71" t="s">
        <v>18</v>
      </c>
      <c r="H71" t="str">
        <f t="shared" si="2"/>
        <v>Low Income</v>
      </c>
      <c r="I71">
        <f t="shared" si="3"/>
        <v>1</v>
      </c>
    </row>
    <row r="72" spans="1:9">
      <c r="A72">
        <v>71</v>
      </c>
      <c r="B72">
        <v>51</v>
      </c>
      <c r="C72">
        <v>38560.6</v>
      </c>
      <c r="D72" t="s">
        <v>7</v>
      </c>
      <c r="E72" t="s">
        <v>12</v>
      </c>
      <c r="F72" t="s">
        <v>14</v>
      </c>
      <c r="G72" t="s">
        <v>16</v>
      </c>
      <c r="H72" t="str">
        <f t="shared" si="2"/>
        <v>Medium Income</v>
      </c>
      <c r="I72">
        <f t="shared" si="3"/>
        <v>3</v>
      </c>
    </row>
    <row r="73" spans="1:9">
      <c r="A73">
        <v>72</v>
      </c>
      <c r="B73">
        <v>27</v>
      </c>
      <c r="C73">
        <v>52529.89</v>
      </c>
      <c r="D73" t="s">
        <v>8</v>
      </c>
      <c r="E73" t="s">
        <v>10</v>
      </c>
      <c r="F73" t="s">
        <v>14</v>
      </c>
      <c r="G73" t="s">
        <v>16</v>
      </c>
      <c r="H73" t="str">
        <f t="shared" si="2"/>
        <v>Medium Income</v>
      </c>
      <c r="I73">
        <f t="shared" si="3"/>
        <v>3</v>
      </c>
    </row>
    <row r="74" spans="1:9">
      <c r="A74">
        <v>73</v>
      </c>
      <c r="B74">
        <v>53</v>
      </c>
      <c r="C74">
        <v>30171.85</v>
      </c>
      <c r="D74" t="s">
        <v>7</v>
      </c>
      <c r="E74" t="s">
        <v>12</v>
      </c>
      <c r="F74" t="s">
        <v>15</v>
      </c>
      <c r="G74" t="s">
        <v>18</v>
      </c>
      <c r="H74" t="str">
        <f t="shared" si="2"/>
        <v>Low Income</v>
      </c>
      <c r="I74">
        <f t="shared" si="3"/>
        <v>1</v>
      </c>
    </row>
    <row r="75" spans="1:9">
      <c r="A75">
        <v>74</v>
      </c>
      <c r="B75">
        <v>31</v>
      </c>
      <c r="C75">
        <v>39976.300000000003</v>
      </c>
      <c r="D75" t="s">
        <v>7</v>
      </c>
      <c r="E75" t="s">
        <v>11</v>
      </c>
      <c r="F75" t="s">
        <v>14</v>
      </c>
      <c r="G75" t="s">
        <v>16</v>
      </c>
      <c r="H75" t="str">
        <f t="shared" si="2"/>
        <v>Medium Income</v>
      </c>
      <c r="I75">
        <f t="shared" si="3"/>
        <v>3</v>
      </c>
    </row>
    <row r="76" spans="1:9">
      <c r="A76">
        <v>75</v>
      </c>
      <c r="B76">
        <v>48</v>
      </c>
      <c r="C76">
        <v>47940.63</v>
      </c>
      <c r="D76" t="s">
        <v>8</v>
      </c>
      <c r="E76" t="s">
        <v>9</v>
      </c>
      <c r="F76" t="s">
        <v>13</v>
      </c>
      <c r="G76" t="s">
        <v>18</v>
      </c>
      <c r="H76" t="str">
        <f t="shared" si="2"/>
        <v>Medium Income</v>
      </c>
      <c r="I76">
        <f t="shared" si="3"/>
        <v>1</v>
      </c>
    </row>
    <row r="77" spans="1:9">
      <c r="A77">
        <v>76</v>
      </c>
      <c r="B77">
        <v>32</v>
      </c>
      <c r="C77">
        <v>71019.820000000007</v>
      </c>
      <c r="D77" t="s">
        <v>8</v>
      </c>
      <c r="E77" t="s">
        <v>11</v>
      </c>
      <c r="F77" t="s">
        <v>14</v>
      </c>
      <c r="G77" t="s">
        <v>16</v>
      </c>
      <c r="H77" t="str">
        <f t="shared" si="2"/>
        <v>High Income</v>
      </c>
      <c r="I77">
        <f t="shared" si="3"/>
        <v>3</v>
      </c>
    </row>
    <row r="78" spans="1:9">
      <c r="A78">
        <v>77</v>
      </c>
      <c r="B78">
        <v>25</v>
      </c>
      <c r="C78">
        <v>49318.96</v>
      </c>
      <c r="D78" t="s">
        <v>7</v>
      </c>
      <c r="E78" t="s">
        <v>9</v>
      </c>
      <c r="F78" t="s">
        <v>15</v>
      </c>
      <c r="G78" t="s">
        <v>17</v>
      </c>
      <c r="H78" t="str">
        <f t="shared" si="2"/>
        <v>Medium Income</v>
      </c>
      <c r="I78">
        <f t="shared" si="3"/>
        <v>1</v>
      </c>
    </row>
    <row r="79" spans="1:9">
      <c r="A79">
        <v>78</v>
      </c>
      <c r="B79">
        <v>31</v>
      </c>
      <c r="C79">
        <v>53254.05</v>
      </c>
      <c r="D79" t="s">
        <v>8</v>
      </c>
      <c r="E79" t="s">
        <v>12</v>
      </c>
      <c r="F79" t="s">
        <v>15</v>
      </c>
      <c r="G79" t="s">
        <v>17</v>
      </c>
      <c r="H79" t="str">
        <f t="shared" si="2"/>
        <v>Medium Income</v>
      </c>
      <c r="I79">
        <f t="shared" si="3"/>
        <v>1</v>
      </c>
    </row>
    <row r="80" spans="1:9">
      <c r="A80">
        <v>79</v>
      </c>
      <c r="B80">
        <v>40</v>
      </c>
      <c r="C80">
        <v>57686.36</v>
      </c>
      <c r="D80" t="s">
        <v>7</v>
      </c>
      <c r="E80" t="s">
        <v>10</v>
      </c>
      <c r="F80" t="s">
        <v>15</v>
      </c>
      <c r="G80" t="s">
        <v>16</v>
      </c>
      <c r="H80" t="str">
        <f t="shared" si="2"/>
        <v>Medium Income</v>
      </c>
      <c r="I80">
        <f t="shared" si="3"/>
        <v>2</v>
      </c>
    </row>
    <row r="81" spans="1:9">
      <c r="A81">
        <v>80</v>
      </c>
      <c r="B81">
        <v>57</v>
      </c>
      <c r="C81">
        <v>58152.33</v>
      </c>
      <c r="D81" t="s">
        <v>7</v>
      </c>
      <c r="E81" t="s">
        <v>11</v>
      </c>
      <c r="F81" t="s">
        <v>14</v>
      </c>
      <c r="G81" t="s">
        <v>16</v>
      </c>
      <c r="H81" t="str">
        <f t="shared" si="2"/>
        <v>Medium Income</v>
      </c>
      <c r="I81">
        <f t="shared" si="3"/>
        <v>3</v>
      </c>
    </row>
    <row r="82" spans="1:9">
      <c r="A82">
        <v>81</v>
      </c>
      <c r="B82">
        <v>38</v>
      </c>
      <c r="C82">
        <v>50421.49</v>
      </c>
      <c r="D82" t="s">
        <v>7</v>
      </c>
      <c r="E82" t="s">
        <v>9</v>
      </c>
      <c r="F82" t="s">
        <v>15</v>
      </c>
      <c r="G82" t="s">
        <v>16</v>
      </c>
      <c r="H82" t="str">
        <f t="shared" si="2"/>
        <v>Medium Income</v>
      </c>
      <c r="I82">
        <f t="shared" si="3"/>
        <v>2</v>
      </c>
    </row>
    <row r="83" spans="1:9">
      <c r="A83">
        <v>82</v>
      </c>
      <c r="B83">
        <v>33</v>
      </c>
      <c r="C83">
        <v>32043.69</v>
      </c>
      <c r="D83" t="s">
        <v>7</v>
      </c>
      <c r="E83" t="s">
        <v>11</v>
      </c>
      <c r="F83" t="s">
        <v>15</v>
      </c>
      <c r="G83" t="s">
        <v>17</v>
      </c>
      <c r="H83" t="str">
        <f t="shared" si="2"/>
        <v>Low Income</v>
      </c>
      <c r="I83">
        <f t="shared" si="3"/>
        <v>1</v>
      </c>
    </row>
    <row r="84" spans="1:9">
      <c r="A84">
        <v>83</v>
      </c>
      <c r="B84">
        <v>62</v>
      </c>
      <c r="C84">
        <v>61845.09</v>
      </c>
      <c r="D84" t="s">
        <v>7</v>
      </c>
      <c r="E84" t="s">
        <v>9</v>
      </c>
      <c r="F84" t="s">
        <v>14</v>
      </c>
      <c r="G84" t="s">
        <v>16</v>
      </c>
      <c r="H84" t="str">
        <f t="shared" si="2"/>
        <v>High Income</v>
      </c>
      <c r="I84">
        <f t="shared" si="3"/>
        <v>3</v>
      </c>
    </row>
    <row r="85" spans="1:9">
      <c r="A85">
        <v>84</v>
      </c>
      <c r="B85">
        <v>35</v>
      </c>
      <c r="C85">
        <v>56472.34</v>
      </c>
      <c r="D85" t="s">
        <v>8</v>
      </c>
      <c r="E85" t="s">
        <v>11</v>
      </c>
      <c r="F85" t="s">
        <v>13</v>
      </c>
      <c r="G85" t="s">
        <v>17</v>
      </c>
      <c r="H85" t="str">
        <f t="shared" si="2"/>
        <v>Medium Income</v>
      </c>
      <c r="I85">
        <f t="shared" si="3"/>
        <v>1</v>
      </c>
    </row>
    <row r="86" spans="1:9">
      <c r="A86">
        <v>85</v>
      </c>
      <c r="B86">
        <v>64</v>
      </c>
      <c r="C86">
        <v>33548.720000000001</v>
      </c>
      <c r="D86" t="s">
        <v>8</v>
      </c>
      <c r="E86" t="s">
        <v>9</v>
      </c>
      <c r="F86" t="s">
        <v>14</v>
      </c>
      <c r="G86" t="s">
        <v>18</v>
      </c>
      <c r="H86" t="str">
        <f t="shared" si="2"/>
        <v>Low Income</v>
      </c>
      <c r="I86">
        <f t="shared" si="3"/>
        <v>2</v>
      </c>
    </row>
    <row r="87" spans="1:9">
      <c r="A87">
        <v>86</v>
      </c>
      <c r="B87">
        <v>41</v>
      </c>
      <c r="C87">
        <v>39765.480000000003</v>
      </c>
      <c r="D87" t="s">
        <v>7</v>
      </c>
      <c r="E87" t="s">
        <v>9</v>
      </c>
      <c r="F87" t="s">
        <v>15</v>
      </c>
      <c r="G87" t="s">
        <v>17</v>
      </c>
      <c r="H87" t="str">
        <f t="shared" si="2"/>
        <v>Medium Income</v>
      </c>
      <c r="I87">
        <f t="shared" si="3"/>
        <v>1</v>
      </c>
    </row>
    <row r="88" spans="1:9">
      <c r="A88">
        <v>87</v>
      </c>
      <c r="B88">
        <v>43</v>
      </c>
      <c r="C88">
        <v>63312.67</v>
      </c>
      <c r="D88" t="s">
        <v>7</v>
      </c>
      <c r="E88" t="s">
        <v>12</v>
      </c>
      <c r="F88" t="s">
        <v>15</v>
      </c>
      <c r="G88" t="s">
        <v>17</v>
      </c>
      <c r="H88" t="str">
        <f t="shared" si="2"/>
        <v>High Income</v>
      </c>
      <c r="I88">
        <f t="shared" si="3"/>
        <v>1</v>
      </c>
    </row>
    <row r="89" spans="1:9">
      <c r="A89">
        <v>88</v>
      </c>
      <c r="B89">
        <v>42</v>
      </c>
      <c r="C89">
        <v>59082.25</v>
      </c>
      <c r="D89" t="s">
        <v>8</v>
      </c>
      <c r="E89" t="s">
        <v>9</v>
      </c>
      <c r="F89" t="s">
        <v>14</v>
      </c>
      <c r="G89" t="s">
        <v>18</v>
      </c>
      <c r="H89" t="str">
        <f t="shared" si="2"/>
        <v>Medium Income</v>
      </c>
      <c r="I89">
        <f t="shared" si="3"/>
        <v>2</v>
      </c>
    </row>
    <row r="90" spans="1:9">
      <c r="A90">
        <v>89</v>
      </c>
      <c r="B90">
        <v>62</v>
      </c>
      <c r="C90">
        <v>39195.53</v>
      </c>
      <c r="D90" t="s">
        <v>8</v>
      </c>
      <c r="E90" t="s">
        <v>12</v>
      </c>
      <c r="F90" t="s">
        <v>13</v>
      </c>
      <c r="G90" t="s">
        <v>17</v>
      </c>
      <c r="H90" t="str">
        <f t="shared" si="2"/>
        <v>Medium Income</v>
      </c>
      <c r="I90">
        <f t="shared" si="3"/>
        <v>1</v>
      </c>
    </row>
    <row r="91" spans="1:9">
      <c r="A91">
        <v>90</v>
      </c>
      <c r="B91">
        <v>58</v>
      </c>
      <c r="C91">
        <v>45950.99</v>
      </c>
      <c r="D91" t="s">
        <v>7</v>
      </c>
      <c r="E91" t="s">
        <v>9</v>
      </c>
      <c r="F91" t="s">
        <v>15</v>
      </c>
      <c r="G91" t="s">
        <v>16</v>
      </c>
      <c r="H91" t="str">
        <f t="shared" si="2"/>
        <v>Medium Income</v>
      </c>
      <c r="I91">
        <f t="shared" si="3"/>
        <v>2</v>
      </c>
    </row>
    <row r="92" spans="1:9">
      <c r="A92">
        <v>91</v>
      </c>
      <c r="B92">
        <v>46</v>
      </c>
      <c r="C92">
        <v>47848.07</v>
      </c>
      <c r="D92" t="s">
        <v>8</v>
      </c>
      <c r="E92" t="s">
        <v>10</v>
      </c>
      <c r="F92" t="s">
        <v>15</v>
      </c>
      <c r="G92" t="s">
        <v>16</v>
      </c>
      <c r="H92" t="str">
        <f t="shared" si="2"/>
        <v>Medium Income</v>
      </c>
      <c r="I92">
        <f t="shared" si="3"/>
        <v>2</v>
      </c>
    </row>
    <row r="93" spans="1:9">
      <c r="A93">
        <v>92</v>
      </c>
      <c r="B93">
        <v>32</v>
      </c>
      <c r="C93">
        <v>59255.06</v>
      </c>
      <c r="D93" t="s">
        <v>7</v>
      </c>
      <c r="E93" t="s">
        <v>10</v>
      </c>
      <c r="F93" t="s">
        <v>15</v>
      </c>
      <c r="G93" t="s">
        <v>17</v>
      </c>
      <c r="H93" t="str">
        <f t="shared" si="2"/>
        <v>Medium Income</v>
      </c>
      <c r="I93">
        <f t="shared" si="3"/>
        <v>1</v>
      </c>
    </row>
    <row r="94" spans="1:9">
      <c r="A94">
        <v>93</v>
      </c>
      <c r="B94">
        <v>62</v>
      </c>
      <c r="C94">
        <v>68734.11</v>
      </c>
      <c r="D94" t="s">
        <v>8</v>
      </c>
      <c r="E94" t="s">
        <v>10</v>
      </c>
      <c r="F94" t="s">
        <v>14</v>
      </c>
      <c r="G94" t="s">
        <v>16</v>
      </c>
      <c r="H94" t="str">
        <f t="shared" si="2"/>
        <v>High Income</v>
      </c>
      <c r="I94">
        <f t="shared" si="3"/>
        <v>3</v>
      </c>
    </row>
    <row r="95" spans="1:9">
      <c r="A95">
        <v>94</v>
      </c>
      <c r="B95">
        <v>18</v>
      </c>
      <c r="C95">
        <v>50984.74</v>
      </c>
      <c r="D95" t="s">
        <v>7</v>
      </c>
      <c r="E95" t="s">
        <v>9</v>
      </c>
      <c r="F95" t="s">
        <v>15</v>
      </c>
      <c r="G95" t="s">
        <v>17</v>
      </c>
      <c r="H95" t="str">
        <f t="shared" si="2"/>
        <v>Medium Income</v>
      </c>
      <c r="I95">
        <f t="shared" si="3"/>
        <v>1</v>
      </c>
    </row>
    <row r="96" spans="1:9">
      <c r="A96">
        <v>95</v>
      </c>
      <c r="B96">
        <v>42</v>
      </c>
      <c r="C96">
        <v>67538.11</v>
      </c>
      <c r="D96" t="s">
        <v>8</v>
      </c>
      <c r="E96" t="s">
        <v>12</v>
      </c>
      <c r="F96" t="s">
        <v>13</v>
      </c>
      <c r="G96" t="s">
        <v>16</v>
      </c>
      <c r="H96" t="str">
        <f t="shared" si="2"/>
        <v>High Income</v>
      </c>
      <c r="I96">
        <f t="shared" si="3"/>
        <v>2</v>
      </c>
    </row>
    <row r="97" spans="1:9">
      <c r="A97">
        <v>96</v>
      </c>
      <c r="B97">
        <v>24</v>
      </c>
      <c r="C97">
        <v>63099.75</v>
      </c>
      <c r="D97" t="s">
        <v>7</v>
      </c>
      <c r="E97" t="s">
        <v>12</v>
      </c>
      <c r="F97" t="s">
        <v>15</v>
      </c>
      <c r="G97" t="s">
        <v>16</v>
      </c>
      <c r="H97" t="str">
        <f t="shared" si="2"/>
        <v>High Income</v>
      </c>
      <c r="I97">
        <f t="shared" si="3"/>
        <v>2</v>
      </c>
    </row>
    <row r="98" spans="1:9">
      <c r="A98">
        <v>97</v>
      </c>
      <c r="B98">
        <v>26</v>
      </c>
      <c r="C98">
        <v>53084.75</v>
      </c>
      <c r="D98" t="s">
        <v>8</v>
      </c>
      <c r="E98" t="s">
        <v>9</v>
      </c>
      <c r="F98" t="s">
        <v>15</v>
      </c>
      <c r="G98" t="s">
        <v>17</v>
      </c>
      <c r="H98" t="str">
        <f t="shared" si="2"/>
        <v>Medium Income</v>
      </c>
      <c r="I98">
        <f t="shared" si="3"/>
        <v>1</v>
      </c>
    </row>
    <row r="99" spans="1:9">
      <c r="A99">
        <v>98</v>
      </c>
      <c r="B99">
        <v>41</v>
      </c>
      <c r="C99">
        <v>28347.75</v>
      </c>
      <c r="D99" t="s">
        <v>8</v>
      </c>
      <c r="E99" t="s">
        <v>10</v>
      </c>
      <c r="F99" t="s">
        <v>13</v>
      </c>
      <c r="G99" t="s">
        <v>16</v>
      </c>
      <c r="H99" t="str">
        <f t="shared" si="2"/>
        <v>Low Income</v>
      </c>
      <c r="I99">
        <f t="shared" si="3"/>
        <v>2</v>
      </c>
    </row>
    <row r="100" spans="1:9">
      <c r="A100">
        <v>99</v>
      </c>
      <c r="B100">
        <v>18</v>
      </c>
      <c r="C100">
        <v>34584.339999999997</v>
      </c>
      <c r="D100" t="s">
        <v>7</v>
      </c>
      <c r="E100" t="s">
        <v>10</v>
      </c>
      <c r="F100" t="s">
        <v>15</v>
      </c>
      <c r="G100" t="s">
        <v>17</v>
      </c>
      <c r="H100" t="str">
        <f t="shared" si="2"/>
        <v>Low Income</v>
      </c>
      <c r="I100">
        <f t="shared" si="3"/>
        <v>1</v>
      </c>
    </row>
    <row r="101" spans="1:9">
      <c r="A101">
        <v>100</v>
      </c>
      <c r="B101">
        <v>61</v>
      </c>
      <c r="C101">
        <v>61118.61</v>
      </c>
      <c r="D101" t="s">
        <v>8</v>
      </c>
      <c r="E101" t="s">
        <v>12</v>
      </c>
      <c r="F101" t="s">
        <v>14</v>
      </c>
      <c r="G101" t="s">
        <v>16</v>
      </c>
      <c r="H101" t="str">
        <f t="shared" si="2"/>
        <v>Medium Income</v>
      </c>
      <c r="I101">
        <f t="shared" si="3"/>
        <v>3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59DC-C0A0-5A41-AAB7-55C62AD7F3C5}">
  <sheetPr>
    <tabColor rgb="FF0070C0"/>
  </sheetPr>
  <dimension ref="A1:M101"/>
  <sheetViews>
    <sheetView workbookViewId="0">
      <selection activeCell="I27" sqref="I27"/>
    </sheetView>
  </sheetViews>
  <sheetFormatPr baseColWidth="10" defaultRowHeight="15"/>
  <cols>
    <col min="6" max="6" width="16.83203125" bestFit="1" customWidth="1"/>
    <col min="7" max="7" width="24.1640625" bestFit="1" customWidth="1"/>
    <col min="9" max="9" width="19.83203125" bestFit="1" customWidth="1"/>
    <col min="10" max="10" width="12.6640625" bestFit="1" customWidth="1"/>
    <col min="12" max="12" width="19.83203125" bestFit="1" customWidth="1"/>
    <col min="13" max="13" width="12.66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>
      <c r="A2">
        <v>1</v>
      </c>
      <c r="B2">
        <v>56</v>
      </c>
      <c r="C2">
        <v>59544.58</v>
      </c>
      <c r="D2" t="s">
        <v>7</v>
      </c>
      <c r="E2" t="s">
        <v>9</v>
      </c>
      <c r="F2" t="s">
        <v>13</v>
      </c>
      <c r="G2" t="s">
        <v>16</v>
      </c>
    </row>
    <row r="3" spans="1:13">
      <c r="A3">
        <v>2</v>
      </c>
      <c r="B3">
        <v>46</v>
      </c>
      <c r="C3">
        <v>36399.19</v>
      </c>
      <c r="D3" t="s">
        <v>7</v>
      </c>
      <c r="E3" t="s">
        <v>10</v>
      </c>
      <c r="F3" t="s">
        <v>14</v>
      </c>
      <c r="G3" t="s">
        <v>16</v>
      </c>
    </row>
    <row r="4" spans="1:13">
      <c r="A4">
        <v>3</v>
      </c>
      <c r="B4">
        <v>32</v>
      </c>
      <c r="C4">
        <v>57140.639999999999</v>
      </c>
      <c r="D4" t="s">
        <v>7</v>
      </c>
      <c r="E4" t="s">
        <v>9</v>
      </c>
      <c r="F4" t="s">
        <v>15</v>
      </c>
      <c r="G4" t="s">
        <v>17</v>
      </c>
    </row>
    <row r="5" spans="1:13">
      <c r="A5">
        <v>4</v>
      </c>
      <c r="B5">
        <v>60</v>
      </c>
      <c r="C5">
        <v>69554.92</v>
      </c>
      <c r="D5" t="s">
        <v>8</v>
      </c>
      <c r="E5" t="s">
        <v>10</v>
      </c>
      <c r="F5" t="s">
        <v>13</v>
      </c>
      <c r="G5" t="s">
        <v>18</v>
      </c>
    </row>
    <row r="6" spans="1:13" ht="16" thickBot="1">
      <c r="A6">
        <v>5</v>
      </c>
      <c r="B6">
        <v>25</v>
      </c>
      <c r="C6">
        <v>53173.81</v>
      </c>
      <c r="D6" t="s">
        <v>7</v>
      </c>
      <c r="E6" t="s">
        <v>9</v>
      </c>
      <c r="F6" t="s">
        <v>15</v>
      </c>
      <c r="G6" t="s">
        <v>16</v>
      </c>
    </row>
    <row r="7" spans="1:13" ht="19">
      <c r="A7">
        <v>6</v>
      </c>
      <c r="B7">
        <v>38</v>
      </c>
      <c r="C7">
        <v>58955.67</v>
      </c>
      <c r="D7" t="s">
        <v>7</v>
      </c>
      <c r="E7" t="s">
        <v>11</v>
      </c>
      <c r="F7" t="s">
        <v>14</v>
      </c>
      <c r="G7" t="s">
        <v>17</v>
      </c>
      <c r="I7" s="9" t="s">
        <v>1</v>
      </c>
      <c r="J7" s="8"/>
      <c r="L7" s="9" t="s">
        <v>2</v>
      </c>
      <c r="M7" s="8"/>
    </row>
    <row r="8" spans="1:13">
      <c r="A8">
        <v>7</v>
      </c>
      <c r="B8">
        <v>56</v>
      </c>
      <c r="C8">
        <v>36554.97</v>
      </c>
      <c r="D8" t="s">
        <v>8</v>
      </c>
      <c r="E8" t="s">
        <v>9</v>
      </c>
      <c r="F8" t="s">
        <v>15</v>
      </c>
      <c r="G8" t="s">
        <v>18</v>
      </c>
      <c r="I8" s="6"/>
      <c r="J8" s="6"/>
      <c r="L8" s="6"/>
      <c r="M8" s="6"/>
    </row>
    <row r="9" spans="1:13">
      <c r="A9">
        <v>8</v>
      </c>
      <c r="B9">
        <v>36</v>
      </c>
      <c r="C9">
        <v>48320.18</v>
      </c>
      <c r="D9" t="s">
        <v>7</v>
      </c>
      <c r="E9" t="s">
        <v>11</v>
      </c>
      <c r="F9" t="s">
        <v>15</v>
      </c>
      <c r="G9" t="s">
        <v>17</v>
      </c>
      <c r="I9" s="6" t="s">
        <v>29</v>
      </c>
      <c r="J9" s="6">
        <v>40.880000000000003</v>
      </c>
      <c r="L9" s="6" t="s">
        <v>29</v>
      </c>
      <c r="M9" s="6">
        <v>51027.643500000006</v>
      </c>
    </row>
    <row r="10" spans="1:13">
      <c r="A10">
        <v>9</v>
      </c>
      <c r="B10">
        <v>40</v>
      </c>
      <c r="C10">
        <v>72034.12</v>
      </c>
      <c r="D10" t="s">
        <v>8</v>
      </c>
      <c r="E10" t="s">
        <v>9</v>
      </c>
      <c r="F10" t="s">
        <v>15</v>
      </c>
      <c r="G10" t="s">
        <v>16</v>
      </c>
      <c r="I10" s="6" t="s">
        <v>30</v>
      </c>
      <c r="J10" s="6">
        <v>1.3990819500766576</v>
      </c>
      <c r="L10" s="6" t="s">
        <v>30</v>
      </c>
      <c r="M10" s="6">
        <v>1496.5841917378543</v>
      </c>
    </row>
    <row r="11" spans="1:13">
      <c r="A11">
        <v>10</v>
      </c>
      <c r="B11">
        <v>28</v>
      </c>
      <c r="C11">
        <v>33141.519999999997</v>
      </c>
      <c r="D11" t="s">
        <v>7</v>
      </c>
      <c r="E11" t="s">
        <v>9</v>
      </c>
      <c r="F11" t="s">
        <v>15</v>
      </c>
      <c r="G11" t="s">
        <v>16</v>
      </c>
      <c r="I11" s="6" t="s">
        <v>31</v>
      </c>
      <c r="J11" s="6">
        <v>41</v>
      </c>
      <c r="L11" s="6" t="s">
        <v>31</v>
      </c>
      <c r="M11" s="6">
        <v>49870.224999999999</v>
      </c>
    </row>
    <row r="12" spans="1:13">
      <c r="A12">
        <v>11</v>
      </c>
      <c r="B12">
        <v>28</v>
      </c>
      <c r="C12">
        <v>64250.080000000002</v>
      </c>
      <c r="D12" t="s">
        <v>7</v>
      </c>
      <c r="E12" t="s">
        <v>12</v>
      </c>
      <c r="F12" t="s">
        <v>14</v>
      </c>
      <c r="G12" t="s">
        <v>16</v>
      </c>
      <c r="I12" s="6" t="s">
        <v>32</v>
      </c>
      <c r="J12" s="6">
        <v>61</v>
      </c>
      <c r="L12" s="6" t="s">
        <v>32</v>
      </c>
      <c r="M12" s="6" t="e">
        <v>#N/A</v>
      </c>
    </row>
    <row r="13" spans="1:13">
      <c r="A13">
        <v>12</v>
      </c>
      <c r="B13">
        <v>41</v>
      </c>
      <c r="C13">
        <v>75897.75</v>
      </c>
      <c r="D13" t="s">
        <v>7</v>
      </c>
      <c r="E13" t="s">
        <v>11</v>
      </c>
      <c r="F13" t="s">
        <v>15</v>
      </c>
      <c r="G13" t="s">
        <v>17</v>
      </c>
      <c r="I13" s="6" t="s">
        <v>33</v>
      </c>
      <c r="J13" s="6">
        <v>13.990819500766575</v>
      </c>
      <c r="L13" s="6" t="s">
        <v>33</v>
      </c>
      <c r="M13" s="6">
        <v>14965.841917378544</v>
      </c>
    </row>
    <row r="14" spans="1:13">
      <c r="A14">
        <v>13</v>
      </c>
      <c r="B14">
        <v>53</v>
      </c>
      <c r="C14">
        <v>56868.28</v>
      </c>
      <c r="D14" t="s">
        <v>8</v>
      </c>
      <c r="E14" t="s">
        <v>12</v>
      </c>
      <c r="F14" t="s">
        <v>15</v>
      </c>
      <c r="G14" t="s">
        <v>17</v>
      </c>
      <c r="I14" s="6" t="s">
        <v>34</v>
      </c>
      <c r="J14" s="6">
        <v>195.74303030303028</v>
      </c>
      <c r="L14" s="6" t="s">
        <v>34</v>
      </c>
      <c r="M14" s="6">
        <v>223976424.29596472</v>
      </c>
    </row>
    <row r="15" spans="1:13">
      <c r="A15">
        <v>14</v>
      </c>
      <c r="B15">
        <v>57</v>
      </c>
      <c r="C15">
        <v>24735.69</v>
      </c>
      <c r="D15" t="s">
        <v>8</v>
      </c>
      <c r="E15" t="s">
        <v>11</v>
      </c>
      <c r="F15" t="s">
        <v>13</v>
      </c>
      <c r="G15" t="s">
        <v>16</v>
      </c>
      <c r="I15" s="6" t="s">
        <v>35</v>
      </c>
      <c r="J15" s="6">
        <v>-1.1665488564043374</v>
      </c>
      <c r="L15" s="6" t="s">
        <v>35</v>
      </c>
      <c r="M15" s="6">
        <v>-9.6596861816181434E-2</v>
      </c>
    </row>
    <row r="16" spans="1:13">
      <c r="A16">
        <v>15</v>
      </c>
      <c r="B16">
        <v>41</v>
      </c>
      <c r="C16">
        <v>54902.68</v>
      </c>
      <c r="D16" t="s">
        <v>7</v>
      </c>
      <c r="E16" t="s">
        <v>12</v>
      </c>
      <c r="F16" t="s">
        <v>15</v>
      </c>
      <c r="G16" t="s">
        <v>17</v>
      </c>
      <c r="I16" s="6" t="s">
        <v>36</v>
      </c>
      <c r="J16" s="6">
        <v>7.9166331444670376E-2</v>
      </c>
      <c r="L16" s="6" t="s">
        <v>36</v>
      </c>
      <c r="M16" s="6">
        <v>0.39380767472738748</v>
      </c>
    </row>
    <row r="17" spans="1:13">
      <c r="A17">
        <v>16</v>
      </c>
      <c r="B17">
        <v>20</v>
      </c>
      <c r="C17">
        <v>48783.22</v>
      </c>
      <c r="D17" t="s">
        <v>8</v>
      </c>
      <c r="E17" t="s">
        <v>10</v>
      </c>
      <c r="F17" t="s">
        <v>13</v>
      </c>
      <c r="G17" t="s">
        <v>16</v>
      </c>
      <c r="I17" s="6" t="s">
        <v>37</v>
      </c>
      <c r="J17" s="6">
        <v>46</v>
      </c>
      <c r="L17" s="6" t="s">
        <v>37</v>
      </c>
      <c r="M17" s="6">
        <v>73253.62</v>
      </c>
    </row>
    <row r="18" spans="1:13">
      <c r="A18">
        <v>17</v>
      </c>
      <c r="B18">
        <v>39</v>
      </c>
      <c r="C18">
        <v>57016.92</v>
      </c>
      <c r="D18" t="s">
        <v>8</v>
      </c>
      <c r="E18" t="s">
        <v>9</v>
      </c>
      <c r="F18" t="s">
        <v>14</v>
      </c>
      <c r="G18" t="s">
        <v>16</v>
      </c>
      <c r="I18" s="6" t="s">
        <v>38</v>
      </c>
      <c r="J18" s="6">
        <v>18</v>
      </c>
      <c r="L18" s="6" t="s">
        <v>38</v>
      </c>
      <c r="M18" s="6">
        <v>20901.330000000002</v>
      </c>
    </row>
    <row r="19" spans="1:13">
      <c r="A19">
        <v>18</v>
      </c>
      <c r="B19">
        <v>19</v>
      </c>
      <c r="C19">
        <v>61041.84</v>
      </c>
      <c r="D19" t="s">
        <v>8</v>
      </c>
      <c r="E19" t="s">
        <v>11</v>
      </c>
      <c r="F19" t="s">
        <v>14</v>
      </c>
      <c r="G19" t="s">
        <v>18</v>
      </c>
      <c r="I19" s="6" t="s">
        <v>39</v>
      </c>
      <c r="J19" s="6">
        <v>64</v>
      </c>
      <c r="L19" s="6" t="s">
        <v>39</v>
      </c>
      <c r="M19" s="6">
        <v>94154.95</v>
      </c>
    </row>
    <row r="20" spans="1:13">
      <c r="A20">
        <v>19</v>
      </c>
      <c r="B20">
        <v>41</v>
      </c>
      <c r="C20">
        <v>38304.47</v>
      </c>
      <c r="D20" t="s">
        <v>8</v>
      </c>
      <c r="E20" t="s">
        <v>11</v>
      </c>
      <c r="F20" t="s">
        <v>14</v>
      </c>
      <c r="G20" t="s">
        <v>17</v>
      </c>
      <c r="I20" s="6" t="s">
        <v>40</v>
      </c>
      <c r="J20" s="6">
        <v>4088</v>
      </c>
      <c r="L20" s="6" t="s">
        <v>40</v>
      </c>
      <c r="M20" s="6">
        <v>5102764.3500000006</v>
      </c>
    </row>
    <row r="21" spans="1:13">
      <c r="A21">
        <v>20</v>
      </c>
      <c r="B21">
        <v>61</v>
      </c>
      <c r="C21">
        <v>37341.550000000003</v>
      </c>
      <c r="D21" t="s">
        <v>8</v>
      </c>
      <c r="E21" t="s">
        <v>9</v>
      </c>
      <c r="F21" t="s">
        <v>14</v>
      </c>
      <c r="G21" t="s">
        <v>16</v>
      </c>
      <c r="I21" s="6" t="s">
        <v>41</v>
      </c>
      <c r="J21" s="6">
        <v>100</v>
      </c>
      <c r="L21" s="6" t="s">
        <v>41</v>
      </c>
      <c r="M21" s="6">
        <v>100</v>
      </c>
    </row>
    <row r="22" spans="1:13">
      <c r="A22">
        <v>21</v>
      </c>
      <c r="B22">
        <v>47</v>
      </c>
      <c r="C22">
        <v>47741.99</v>
      </c>
      <c r="D22" t="s">
        <v>8</v>
      </c>
      <c r="E22" t="s">
        <v>11</v>
      </c>
      <c r="F22" t="s">
        <v>13</v>
      </c>
      <c r="G22" t="s">
        <v>16</v>
      </c>
      <c r="I22" s="6" t="s">
        <v>42</v>
      </c>
      <c r="J22" s="6">
        <v>64</v>
      </c>
      <c r="L22" s="6" t="s">
        <v>42</v>
      </c>
      <c r="M22" s="6">
        <v>94154.95</v>
      </c>
    </row>
    <row r="23" spans="1:13" ht="16" thickBot="1">
      <c r="A23">
        <v>22</v>
      </c>
      <c r="B23">
        <v>55</v>
      </c>
      <c r="C23">
        <v>35516.629999999997</v>
      </c>
      <c r="D23" t="s">
        <v>7</v>
      </c>
      <c r="E23" t="s">
        <v>11</v>
      </c>
      <c r="F23" t="s">
        <v>15</v>
      </c>
      <c r="G23" t="s">
        <v>17</v>
      </c>
      <c r="I23" s="7" t="s">
        <v>43</v>
      </c>
      <c r="J23" s="7">
        <v>2.7760821220006844</v>
      </c>
      <c r="L23" s="7" t="s">
        <v>43</v>
      </c>
      <c r="M23" s="7">
        <v>2969.5477227225065</v>
      </c>
    </row>
    <row r="24" spans="1:13">
      <c r="A24">
        <v>23</v>
      </c>
      <c r="B24">
        <v>19</v>
      </c>
      <c r="C24">
        <v>52257.34</v>
      </c>
      <c r="D24" t="s">
        <v>7</v>
      </c>
      <c r="E24" t="s">
        <v>12</v>
      </c>
      <c r="F24" t="s">
        <v>14</v>
      </c>
      <c r="G24" t="s">
        <v>18</v>
      </c>
    </row>
    <row r="25" spans="1:13">
      <c r="A25">
        <v>24</v>
      </c>
      <c r="B25">
        <v>38</v>
      </c>
      <c r="C25">
        <v>48298.68</v>
      </c>
      <c r="D25" t="s">
        <v>8</v>
      </c>
      <c r="E25" t="s">
        <v>11</v>
      </c>
      <c r="F25" t="s">
        <v>15</v>
      </c>
      <c r="G25" t="s">
        <v>18</v>
      </c>
    </row>
    <row r="26" spans="1:13">
      <c r="A26">
        <v>25</v>
      </c>
      <c r="B26">
        <v>50</v>
      </c>
      <c r="C26">
        <v>89502.92</v>
      </c>
      <c r="D26" t="s">
        <v>7</v>
      </c>
      <c r="E26" t="s">
        <v>10</v>
      </c>
      <c r="F26" t="s">
        <v>13</v>
      </c>
      <c r="G26" t="s">
        <v>16</v>
      </c>
    </row>
    <row r="27" spans="1:13">
      <c r="A27">
        <v>26</v>
      </c>
      <c r="B27">
        <v>29</v>
      </c>
      <c r="C27">
        <v>34623.64</v>
      </c>
      <c r="D27" t="s">
        <v>7</v>
      </c>
      <c r="E27" t="s">
        <v>10</v>
      </c>
      <c r="F27" t="s">
        <v>13</v>
      </c>
      <c r="G27" t="s">
        <v>17</v>
      </c>
    </row>
    <row r="28" spans="1:13">
      <c r="A28">
        <v>27</v>
      </c>
      <c r="B28">
        <v>39</v>
      </c>
      <c r="C28">
        <v>38269.279999999999</v>
      </c>
      <c r="D28" t="s">
        <v>7</v>
      </c>
      <c r="E28" t="s">
        <v>9</v>
      </c>
      <c r="F28" t="s">
        <v>13</v>
      </c>
      <c r="G28" t="s">
        <v>18</v>
      </c>
    </row>
    <row r="29" spans="1:13">
      <c r="A29">
        <v>28</v>
      </c>
      <c r="B29">
        <v>61</v>
      </c>
      <c r="C29">
        <v>56359.15</v>
      </c>
      <c r="D29" t="s">
        <v>7</v>
      </c>
      <c r="E29" t="s">
        <v>11</v>
      </c>
      <c r="F29" t="s">
        <v>14</v>
      </c>
      <c r="G29" t="s">
        <v>17</v>
      </c>
    </row>
    <row r="30" spans="1:13">
      <c r="A30">
        <v>29</v>
      </c>
      <c r="B30">
        <v>42</v>
      </c>
      <c r="C30">
        <v>63090.58</v>
      </c>
      <c r="D30" t="s">
        <v>8</v>
      </c>
      <c r="E30" t="s">
        <v>9</v>
      </c>
      <c r="F30" t="s">
        <v>15</v>
      </c>
      <c r="G30" t="s">
        <v>17</v>
      </c>
    </row>
    <row r="31" spans="1:13">
      <c r="A31">
        <v>30</v>
      </c>
      <c r="B31">
        <v>44</v>
      </c>
      <c r="C31">
        <v>84308.39</v>
      </c>
      <c r="D31" t="s">
        <v>7</v>
      </c>
      <c r="E31" t="s">
        <v>10</v>
      </c>
      <c r="F31" t="s">
        <v>15</v>
      </c>
      <c r="G31" t="s">
        <v>16</v>
      </c>
    </row>
    <row r="32" spans="1:13">
      <c r="A32">
        <v>31</v>
      </c>
      <c r="B32">
        <v>59</v>
      </c>
      <c r="C32">
        <v>74343.81</v>
      </c>
      <c r="D32" t="s">
        <v>7</v>
      </c>
      <c r="E32" t="s">
        <v>11</v>
      </c>
      <c r="F32" t="s">
        <v>15</v>
      </c>
      <c r="G32" t="s">
        <v>18</v>
      </c>
    </row>
    <row r="33" spans="1:7">
      <c r="A33">
        <v>32</v>
      </c>
      <c r="B33">
        <v>45</v>
      </c>
      <c r="C33">
        <v>62356</v>
      </c>
      <c r="D33" t="s">
        <v>8</v>
      </c>
      <c r="E33" t="s">
        <v>11</v>
      </c>
      <c r="F33" t="s">
        <v>13</v>
      </c>
      <c r="G33" t="s">
        <v>16</v>
      </c>
    </row>
    <row r="34" spans="1:7">
      <c r="A34">
        <v>33</v>
      </c>
      <c r="B34">
        <v>33</v>
      </c>
      <c r="C34">
        <v>54395.89</v>
      </c>
      <c r="D34" t="s">
        <v>8</v>
      </c>
      <c r="E34" t="s">
        <v>9</v>
      </c>
      <c r="F34" t="s">
        <v>14</v>
      </c>
      <c r="G34" t="s">
        <v>18</v>
      </c>
    </row>
    <row r="35" spans="1:7">
      <c r="A35">
        <v>34</v>
      </c>
      <c r="B35">
        <v>32</v>
      </c>
      <c r="C35">
        <v>63449.46</v>
      </c>
      <c r="D35" t="s">
        <v>7</v>
      </c>
      <c r="E35" t="s">
        <v>10</v>
      </c>
      <c r="F35" t="s">
        <v>13</v>
      </c>
      <c r="G35" t="s">
        <v>18</v>
      </c>
    </row>
    <row r="36" spans="1:7">
      <c r="A36">
        <v>35</v>
      </c>
      <c r="B36">
        <v>64</v>
      </c>
      <c r="C36">
        <v>40845.17</v>
      </c>
      <c r="D36" t="s">
        <v>7</v>
      </c>
      <c r="E36" t="s">
        <v>11</v>
      </c>
      <c r="F36" t="s">
        <v>13</v>
      </c>
      <c r="G36" t="s">
        <v>18</v>
      </c>
    </row>
    <row r="37" spans="1:7">
      <c r="A37">
        <v>36</v>
      </c>
      <c r="B37">
        <v>61</v>
      </c>
      <c r="C37">
        <v>45257.51</v>
      </c>
      <c r="D37" t="s">
        <v>7</v>
      </c>
      <c r="E37" t="s">
        <v>9</v>
      </c>
      <c r="F37" t="s">
        <v>15</v>
      </c>
      <c r="G37" t="s">
        <v>18</v>
      </c>
    </row>
    <row r="38" spans="1:7">
      <c r="A38">
        <v>37</v>
      </c>
      <c r="B38">
        <v>20</v>
      </c>
      <c r="C38">
        <v>27763.64</v>
      </c>
      <c r="D38" t="s">
        <v>7</v>
      </c>
      <c r="E38" t="s">
        <v>10</v>
      </c>
      <c r="F38" t="s">
        <v>13</v>
      </c>
      <c r="G38" t="s">
        <v>18</v>
      </c>
    </row>
    <row r="39" spans="1:7">
      <c r="A39">
        <v>38</v>
      </c>
      <c r="B39">
        <v>54</v>
      </c>
      <c r="C39">
        <v>46567.29</v>
      </c>
      <c r="D39" t="s">
        <v>7</v>
      </c>
      <c r="E39" t="s">
        <v>9</v>
      </c>
      <c r="F39" t="s">
        <v>15</v>
      </c>
      <c r="G39" t="s">
        <v>17</v>
      </c>
    </row>
    <row r="40" spans="1:7">
      <c r="A40">
        <v>39</v>
      </c>
      <c r="B40">
        <v>24</v>
      </c>
      <c r="C40">
        <v>64439.62</v>
      </c>
      <c r="D40" t="s">
        <v>7</v>
      </c>
      <c r="E40" t="s">
        <v>12</v>
      </c>
      <c r="F40" t="s">
        <v>14</v>
      </c>
      <c r="G40" t="s">
        <v>16</v>
      </c>
    </row>
    <row r="41" spans="1:7">
      <c r="A41">
        <v>40</v>
      </c>
      <c r="B41">
        <v>38</v>
      </c>
      <c r="C41">
        <v>46854.61</v>
      </c>
      <c r="D41" t="s">
        <v>8</v>
      </c>
      <c r="E41" t="s">
        <v>11</v>
      </c>
      <c r="F41" t="s">
        <v>15</v>
      </c>
      <c r="G41" t="s">
        <v>17</v>
      </c>
    </row>
    <row r="42" spans="1:7">
      <c r="A42">
        <v>41</v>
      </c>
      <c r="B42">
        <v>26</v>
      </c>
      <c r="C42">
        <v>38389.360000000001</v>
      </c>
      <c r="D42" t="s">
        <v>7</v>
      </c>
      <c r="E42" t="s">
        <v>12</v>
      </c>
      <c r="F42" t="s">
        <v>14</v>
      </c>
      <c r="G42" t="s">
        <v>18</v>
      </c>
    </row>
    <row r="43" spans="1:7">
      <c r="A43">
        <v>42</v>
      </c>
      <c r="B43">
        <v>56</v>
      </c>
      <c r="C43">
        <v>44603.33</v>
      </c>
      <c r="D43" t="s">
        <v>7</v>
      </c>
      <c r="E43" t="s">
        <v>10</v>
      </c>
      <c r="F43" t="s">
        <v>15</v>
      </c>
      <c r="G43" t="s">
        <v>16</v>
      </c>
    </row>
    <row r="44" spans="1:7">
      <c r="A44">
        <v>43</v>
      </c>
      <c r="B44">
        <v>35</v>
      </c>
      <c r="C44">
        <v>60861.25</v>
      </c>
      <c r="D44" t="s">
        <v>8</v>
      </c>
      <c r="E44" t="s">
        <v>12</v>
      </c>
      <c r="F44" t="s">
        <v>13</v>
      </c>
      <c r="G44" t="s">
        <v>18</v>
      </c>
    </row>
    <row r="45" spans="1:7">
      <c r="A45">
        <v>44</v>
      </c>
      <c r="B45">
        <v>21</v>
      </c>
      <c r="C45">
        <v>46163.53</v>
      </c>
      <c r="D45" t="s">
        <v>8</v>
      </c>
      <c r="E45" t="s">
        <v>12</v>
      </c>
      <c r="F45" t="s">
        <v>13</v>
      </c>
      <c r="G45" t="s">
        <v>16</v>
      </c>
    </row>
    <row r="46" spans="1:7">
      <c r="A46">
        <v>45</v>
      </c>
      <c r="B46">
        <v>42</v>
      </c>
      <c r="C46">
        <v>62748.82</v>
      </c>
      <c r="D46" t="s">
        <v>8</v>
      </c>
      <c r="E46" t="s">
        <v>10</v>
      </c>
      <c r="F46" t="s">
        <v>14</v>
      </c>
      <c r="G46" t="s">
        <v>17</v>
      </c>
    </row>
    <row r="47" spans="1:7">
      <c r="A47">
        <v>46</v>
      </c>
      <c r="B47">
        <v>31</v>
      </c>
      <c r="C47">
        <v>30330.14</v>
      </c>
      <c r="D47" t="s">
        <v>8</v>
      </c>
      <c r="E47" t="s">
        <v>9</v>
      </c>
      <c r="F47" t="s">
        <v>14</v>
      </c>
      <c r="G47" t="s">
        <v>16</v>
      </c>
    </row>
    <row r="48" spans="1:7">
      <c r="A48">
        <v>47</v>
      </c>
      <c r="B48">
        <v>26</v>
      </c>
      <c r="C48">
        <v>36945.43</v>
      </c>
      <c r="D48" t="s">
        <v>7</v>
      </c>
      <c r="E48" t="s">
        <v>12</v>
      </c>
      <c r="F48" t="s">
        <v>14</v>
      </c>
      <c r="G48" t="s">
        <v>16</v>
      </c>
    </row>
    <row r="49" spans="1:7">
      <c r="A49">
        <v>48</v>
      </c>
      <c r="B49">
        <v>43</v>
      </c>
      <c r="C49">
        <v>42400.35</v>
      </c>
      <c r="D49" t="s">
        <v>7</v>
      </c>
      <c r="E49" t="s">
        <v>9</v>
      </c>
      <c r="F49" t="s">
        <v>15</v>
      </c>
      <c r="G49" t="s">
        <v>16</v>
      </c>
    </row>
    <row r="50" spans="1:7">
      <c r="A50">
        <v>49</v>
      </c>
      <c r="B50">
        <v>19</v>
      </c>
      <c r="C50">
        <v>30350.74</v>
      </c>
      <c r="D50" t="s">
        <v>7</v>
      </c>
      <c r="E50" t="s">
        <v>12</v>
      </c>
      <c r="F50" t="s">
        <v>15</v>
      </c>
      <c r="G50" t="s">
        <v>16</v>
      </c>
    </row>
    <row r="51" spans="1:7">
      <c r="A51">
        <v>50</v>
      </c>
      <c r="B51">
        <v>37</v>
      </c>
      <c r="C51">
        <v>94154.95</v>
      </c>
      <c r="D51" t="s">
        <v>7</v>
      </c>
      <c r="E51" t="s">
        <v>9</v>
      </c>
      <c r="F51" t="s">
        <v>14</v>
      </c>
      <c r="G51" t="s">
        <v>16</v>
      </c>
    </row>
    <row r="52" spans="1:7">
      <c r="A52">
        <v>51</v>
      </c>
      <c r="B52">
        <v>45</v>
      </c>
      <c r="C52">
        <v>33556.01</v>
      </c>
      <c r="D52" t="s">
        <v>7</v>
      </c>
      <c r="E52" t="s">
        <v>10</v>
      </c>
      <c r="F52" t="s">
        <v>13</v>
      </c>
      <c r="G52" t="s">
        <v>18</v>
      </c>
    </row>
    <row r="53" spans="1:7">
      <c r="A53">
        <v>52</v>
      </c>
      <c r="B53">
        <v>64</v>
      </c>
      <c r="C53">
        <v>63723.26</v>
      </c>
      <c r="D53" t="s">
        <v>7</v>
      </c>
      <c r="E53" t="s">
        <v>12</v>
      </c>
      <c r="F53" t="s">
        <v>15</v>
      </c>
      <c r="G53" t="s">
        <v>16</v>
      </c>
    </row>
    <row r="54" spans="1:7">
      <c r="A54">
        <v>53</v>
      </c>
      <c r="B54">
        <v>24</v>
      </c>
      <c r="C54">
        <v>40009.089999999997</v>
      </c>
      <c r="D54" t="s">
        <v>8</v>
      </c>
      <c r="E54" t="s">
        <v>10</v>
      </c>
      <c r="F54" t="s">
        <v>15</v>
      </c>
      <c r="G54" t="s">
        <v>16</v>
      </c>
    </row>
    <row r="55" spans="1:7">
      <c r="A55">
        <v>54</v>
      </c>
      <c r="B55">
        <v>61</v>
      </c>
      <c r="C55">
        <v>42293.19</v>
      </c>
      <c r="D55" t="s">
        <v>7</v>
      </c>
      <c r="E55" t="s">
        <v>12</v>
      </c>
      <c r="F55" t="s">
        <v>15</v>
      </c>
      <c r="G55" t="s">
        <v>17</v>
      </c>
    </row>
    <row r="56" spans="1:7">
      <c r="A56">
        <v>55</v>
      </c>
      <c r="B56">
        <v>25</v>
      </c>
      <c r="C56">
        <v>54519.839999999997</v>
      </c>
      <c r="D56" t="s">
        <v>8</v>
      </c>
      <c r="E56" t="s">
        <v>10</v>
      </c>
      <c r="F56" t="s">
        <v>14</v>
      </c>
      <c r="G56" t="s">
        <v>16</v>
      </c>
    </row>
    <row r="57" spans="1:7">
      <c r="A57">
        <v>56</v>
      </c>
      <c r="B57">
        <v>64</v>
      </c>
      <c r="C57">
        <v>28122.25</v>
      </c>
      <c r="D57" t="s">
        <v>8</v>
      </c>
      <c r="E57" t="s">
        <v>10</v>
      </c>
      <c r="F57" t="s">
        <v>14</v>
      </c>
      <c r="G57" t="s">
        <v>17</v>
      </c>
    </row>
    <row r="58" spans="1:7">
      <c r="A58">
        <v>57</v>
      </c>
      <c r="B58">
        <v>52</v>
      </c>
      <c r="C58">
        <v>40058.93</v>
      </c>
      <c r="D58" t="s">
        <v>7</v>
      </c>
      <c r="E58" t="s">
        <v>12</v>
      </c>
      <c r="F58" t="s">
        <v>14</v>
      </c>
      <c r="G58" t="s">
        <v>18</v>
      </c>
    </row>
    <row r="59" spans="1:7">
      <c r="A59">
        <v>58</v>
      </c>
      <c r="B59">
        <v>31</v>
      </c>
      <c r="C59">
        <v>47802.91</v>
      </c>
      <c r="D59" t="s">
        <v>8</v>
      </c>
      <c r="E59" t="s">
        <v>12</v>
      </c>
      <c r="F59" t="s">
        <v>14</v>
      </c>
      <c r="G59" t="s">
        <v>16</v>
      </c>
    </row>
    <row r="60" spans="1:7">
      <c r="A60">
        <v>59</v>
      </c>
      <c r="B60">
        <v>34</v>
      </c>
      <c r="C60">
        <v>37309.74</v>
      </c>
      <c r="D60" t="s">
        <v>7</v>
      </c>
      <c r="E60" t="s">
        <v>12</v>
      </c>
      <c r="F60" t="s">
        <v>14</v>
      </c>
      <c r="G60" t="s">
        <v>17</v>
      </c>
    </row>
    <row r="61" spans="1:7">
      <c r="A61">
        <v>60</v>
      </c>
      <c r="B61">
        <v>53</v>
      </c>
      <c r="C61">
        <v>37662.660000000003</v>
      </c>
      <c r="D61" t="s">
        <v>8</v>
      </c>
      <c r="E61" t="s">
        <v>11</v>
      </c>
      <c r="F61" t="s">
        <v>13</v>
      </c>
      <c r="G61" t="s">
        <v>17</v>
      </c>
    </row>
    <row r="62" spans="1:7">
      <c r="A62">
        <v>61</v>
      </c>
      <c r="B62">
        <v>57</v>
      </c>
      <c r="C62">
        <v>66300.91</v>
      </c>
      <c r="D62" t="s">
        <v>7</v>
      </c>
      <c r="E62" t="s">
        <v>9</v>
      </c>
      <c r="F62" t="s">
        <v>13</v>
      </c>
      <c r="G62" t="s">
        <v>18</v>
      </c>
    </row>
    <row r="63" spans="1:7">
      <c r="A63">
        <v>62</v>
      </c>
      <c r="B63">
        <v>21</v>
      </c>
      <c r="C63">
        <v>65074.8</v>
      </c>
      <c r="D63" t="s">
        <v>8</v>
      </c>
      <c r="E63" t="s">
        <v>11</v>
      </c>
      <c r="F63" t="s">
        <v>14</v>
      </c>
      <c r="G63" t="s">
        <v>16</v>
      </c>
    </row>
    <row r="64" spans="1:7">
      <c r="A64">
        <v>63</v>
      </c>
      <c r="B64">
        <v>19</v>
      </c>
      <c r="C64">
        <v>43373.51</v>
      </c>
      <c r="D64" t="s">
        <v>7</v>
      </c>
      <c r="E64" t="s">
        <v>11</v>
      </c>
      <c r="F64" t="s">
        <v>15</v>
      </c>
      <c r="G64" t="s">
        <v>16</v>
      </c>
    </row>
    <row r="65" spans="1:7">
      <c r="A65">
        <v>64</v>
      </c>
      <c r="B65">
        <v>23</v>
      </c>
      <c r="C65">
        <v>48737.52</v>
      </c>
      <c r="D65" t="s">
        <v>7</v>
      </c>
      <c r="E65" t="s">
        <v>10</v>
      </c>
      <c r="F65" t="s">
        <v>14</v>
      </c>
      <c r="G65" t="s">
        <v>17</v>
      </c>
    </row>
    <row r="66" spans="1:7">
      <c r="A66">
        <v>65</v>
      </c>
      <c r="B66">
        <v>59</v>
      </c>
      <c r="C66">
        <v>68555.240000000005</v>
      </c>
      <c r="D66" t="s">
        <v>7</v>
      </c>
      <c r="E66" t="s">
        <v>12</v>
      </c>
      <c r="F66" t="s">
        <v>13</v>
      </c>
      <c r="G66" t="s">
        <v>16</v>
      </c>
    </row>
    <row r="67" spans="1:7">
      <c r="A67">
        <v>66</v>
      </c>
      <c r="B67">
        <v>21</v>
      </c>
      <c r="C67">
        <v>28602.82</v>
      </c>
      <c r="D67" t="s">
        <v>7</v>
      </c>
      <c r="E67" t="s">
        <v>9</v>
      </c>
      <c r="F67" t="s">
        <v>13</v>
      </c>
      <c r="G67" t="s">
        <v>17</v>
      </c>
    </row>
    <row r="68" spans="1:7">
      <c r="A68">
        <v>67</v>
      </c>
      <c r="B68">
        <v>46</v>
      </c>
      <c r="C68">
        <v>55070.34</v>
      </c>
      <c r="D68" t="s">
        <v>7</v>
      </c>
      <c r="E68" t="s">
        <v>10</v>
      </c>
      <c r="F68" t="s">
        <v>15</v>
      </c>
      <c r="G68" t="s">
        <v>16</v>
      </c>
    </row>
    <row r="69" spans="1:7">
      <c r="A69">
        <v>68</v>
      </c>
      <c r="B69">
        <v>35</v>
      </c>
      <c r="C69">
        <v>79618.570000000007</v>
      </c>
      <c r="D69" t="s">
        <v>8</v>
      </c>
      <c r="E69" t="s">
        <v>11</v>
      </c>
      <c r="F69" t="s">
        <v>13</v>
      </c>
      <c r="G69" t="s">
        <v>17</v>
      </c>
    </row>
    <row r="70" spans="1:7">
      <c r="A70">
        <v>69</v>
      </c>
      <c r="B70">
        <v>43</v>
      </c>
      <c r="C70">
        <v>79475.520000000004</v>
      </c>
      <c r="D70" t="s">
        <v>8</v>
      </c>
      <c r="E70" t="s">
        <v>12</v>
      </c>
      <c r="F70" t="s">
        <v>14</v>
      </c>
      <c r="G70" t="s">
        <v>16</v>
      </c>
    </row>
    <row r="71" spans="1:7">
      <c r="A71">
        <v>70</v>
      </c>
      <c r="B71">
        <v>61</v>
      </c>
      <c r="C71">
        <v>20901.330000000002</v>
      </c>
      <c r="D71" t="s">
        <v>8</v>
      </c>
      <c r="E71" t="s">
        <v>10</v>
      </c>
      <c r="F71" t="s">
        <v>15</v>
      </c>
      <c r="G71" t="s">
        <v>18</v>
      </c>
    </row>
    <row r="72" spans="1:7">
      <c r="A72">
        <v>71</v>
      </c>
      <c r="B72">
        <v>51</v>
      </c>
      <c r="C72">
        <v>38560.6</v>
      </c>
      <c r="D72" t="s">
        <v>7</v>
      </c>
      <c r="E72" t="s">
        <v>12</v>
      </c>
      <c r="F72" t="s">
        <v>14</v>
      </c>
      <c r="G72" t="s">
        <v>16</v>
      </c>
    </row>
    <row r="73" spans="1:7">
      <c r="A73">
        <v>72</v>
      </c>
      <c r="B73">
        <v>27</v>
      </c>
      <c r="C73">
        <v>52529.89</v>
      </c>
      <c r="D73" t="s">
        <v>8</v>
      </c>
      <c r="E73" t="s">
        <v>10</v>
      </c>
      <c r="F73" t="s">
        <v>14</v>
      </c>
      <c r="G73" t="s">
        <v>16</v>
      </c>
    </row>
    <row r="74" spans="1:7">
      <c r="A74">
        <v>73</v>
      </c>
      <c r="B74">
        <v>53</v>
      </c>
      <c r="C74">
        <v>30171.85</v>
      </c>
      <c r="D74" t="s">
        <v>7</v>
      </c>
      <c r="E74" t="s">
        <v>12</v>
      </c>
      <c r="F74" t="s">
        <v>15</v>
      </c>
      <c r="G74" t="s">
        <v>18</v>
      </c>
    </row>
    <row r="75" spans="1:7">
      <c r="A75">
        <v>74</v>
      </c>
      <c r="B75">
        <v>31</v>
      </c>
      <c r="C75">
        <v>39976.300000000003</v>
      </c>
      <c r="D75" t="s">
        <v>7</v>
      </c>
      <c r="E75" t="s">
        <v>11</v>
      </c>
      <c r="F75" t="s">
        <v>14</v>
      </c>
      <c r="G75" t="s">
        <v>16</v>
      </c>
    </row>
    <row r="76" spans="1:7">
      <c r="A76">
        <v>75</v>
      </c>
      <c r="B76">
        <v>48</v>
      </c>
      <c r="C76">
        <v>47940.63</v>
      </c>
      <c r="D76" t="s">
        <v>8</v>
      </c>
      <c r="E76" t="s">
        <v>9</v>
      </c>
      <c r="F76" t="s">
        <v>13</v>
      </c>
      <c r="G76" t="s">
        <v>18</v>
      </c>
    </row>
    <row r="77" spans="1:7">
      <c r="A77">
        <v>76</v>
      </c>
      <c r="B77">
        <v>32</v>
      </c>
      <c r="C77">
        <v>71019.820000000007</v>
      </c>
      <c r="D77" t="s">
        <v>8</v>
      </c>
      <c r="E77" t="s">
        <v>11</v>
      </c>
      <c r="F77" t="s">
        <v>14</v>
      </c>
      <c r="G77" t="s">
        <v>16</v>
      </c>
    </row>
    <row r="78" spans="1:7">
      <c r="A78">
        <v>77</v>
      </c>
      <c r="B78">
        <v>25</v>
      </c>
      <c r="C78">
        <v>49318.96</v>
      </c>
      <c r="D78" t="s">
        <v>7</v>
      </c>
      <c r="E78" t="s">
        <v>9</v>
      </c>
      <c r="F78" t="s">
        <v>15</v>
      </c>
      <c r="G78" t="s">
        <v>17</v>
      </c>
    </row>
    <row r="79" spans="1:7">
      <c r="A79">
        <v>78</v>
      </c>
      <c r="B79">
        <v>31</v>
      </c>
      <c r="C79">
        <v>53254.05</v>
      </c>
      <c r="D79" t="s">
        <v>8</v>
      </c>
      <c r="E79" t="s">
        <v>12</v>
      </c>
      <c r="F79" t="s">
        <v>15</v>
      </c>
      <c r="G79" t="s">
        <v>17</v>
      </c>
    </row>
    <row r="80" spans="1:7">
      <c r="A80">
        <v>79</v>
      </c>
      <c r="B80">
        <v>40</v>
      </c>
      <c r="C80">
        <v>57686.36</v>
      </c>
      <c r="D80" t="s">
        <v>7</v>
      </c>
      <c r="E80" t="s">
        <v>10</v>
      </c>
      <c r="F80" t="s">
        <v>15</v>
      </c>
      <c r="G80" t="s">
        <v>16</v>
      </c>
    </row>
    <row r="81" spans="1:7">
      <c r="A81">
        <v>80</v>
      </c>
      <c r="B81">
        <v>57</v>
      </c>
      <c r="C81">
        <v>58152.33</v>
      </c>
      <c r="D81" t="s">
        <v>7</v>
      </c>
      <c r="E81" t="s">
        <v>11</v>
      </c>
      <c r="F81" t="s">
        <v>14</v>
      </c>
      <c r="G81" t="s">
        <v>16</v>
      </c>
    </row>
    <row r="82" spans="1:7">
      <c r="A82">
        <v>81</v>
      </c>
      <c r="B82">
        <v>38</v>
      </c>
      <c r="C82">
        <v>50421.49</v>
      </c>
      <c r="D82" t="s">
        <v>7</v>
      </c>
      <c r="E82" t="s">
        <v>9</v>
      </c>
      <c r="F82" t="s">
        <v>15</v>
      </c>
      <c r="G82" t="s">
        <v>16</v>
      </c>
    </row>
    <row r="83" spans="1:7">
      <c r="A83">
        <v>82</v>
      </c>
      <c r="B83">
        <v>33</v>
      </c>
      <c r="C83">
        <v>32043.69</v>
      </c>
      <c r="D83" t="s">
        <v>7</v>
      </c>
      <c r="E83" t="s">
        <v>11</v>
      </c>
      <c r="F83" t="s">
        <v>15</v>
      </c>
      <c r="G83" t="s">
        <v>17</v>
      </c>
    </row>
    <row r="84" spans="1:7">
      <c r="A84">
        <v>83</v>
      </c>
      <c r="B84">
        <v>62</v>
      </c>
      <c r="C84">
        <v>61845.09</v>
      </c>
      <c r="D84" t="s">
        <v>7</v>
      </c>
      <c r="E84" t="s">
        <v>9</v>
      </c>
      <c r="F84" t="s">
        <v>14</v>
      </c>
      <c r="G84" t="s">
        <v>16</v>
      </c>
    </row>
    <row r="85" spans="1:7">
      <c r="A85">
        <v>84</v>
      </c>
      <c r="B85">
        <v>35</v>
      </c>
      <c r="C85">
        <v>56472.34</v>
      </c>
      <c r="D85" t="s">
        <v>8</v>
      </c>
      <c r="E85" t="s">
        <v>11</v>
      </c>
      <c r="F85" t="s">
        <v>13</v>
      </c>
      <c r="G85" t="s">
        <v>17</v>
      </c>
    </row>
    <row r="86" spans="1:7">
      <c r="A86">
        <v>85</v>
      </c>
      <c r="B86">
        <v>64</v>
      </c>
      <c r="C86">
        <v>33548.720000000001</v>
      </c>
      <c r="D86" t="s">
        <v>8</v>
      </c>
      <c r="E86" t="s">
        <v>9</v>
      </c>
      <c r="F86" t="s">
        <v>14</v>
      </c>
      <c r="G86" t="s">
        <v>18</v>
      </c>
    </row>
    <row r="87" spans="1:7">
      <c r="A87">
        <v>86</v>
      </c>
      <c r="B87">
        <v>41</v>
      </c>
      <c r="C87">
        <v>39765.480000000003</v>
      </c>
      <c r="D87" t="s">
        <v>7</v>
      </c>
      <c r="E87" t="s">
        <v>9</v>
      </c>
      <c r="F87" t="s">
        <v>15</v>
      </c>
      <c r="G87" t="s">
        <v>17</v>
      </c>
    </row>
    <row r="88" spans="1:7">
      <c r="A88">
        <v>87</v>
      </c>
      <c r="B88">
        <v>43</v>
      </c>
      <c r="C88">
        <v>63312.67</v>
      </c>
      <c r="D88" t="s">
        <v>7</v>
      </c>
      <c r="E88" t="s">
        <v>12</v>
      </c>
      <c r="F88" t="s">
        <v>15</v>
      </c>
      <c r="G88" t="s">
        <v>17</v>
      </c>
    </row>
    <row r="89" spans="1:7">
      <c r="A89">
        <v>88</v>
      </c>
      <c r="B89">
        <v>42</v>
      </c>
      <c r="C89">
        <v>59082.25</v>
      </c>
      <c r="D89" t="s">
        <v>8</v>
      </c>
      <c r="E89" t="s">
        <v>9</v>
      </c>
      <c r="F89" t="s">
        <v>14</v>
      </c>
      <c r="G89" t="s">
        <v>18</v>
      </c>
    </row>
    <row r="90" spans="1:7">
      <c r="A90">
        <v>89</v>
      </c>
      <c r="B90">
        <v>62</v>
      </c>
      <c r="C90">
        <v>39195.53</v>
      </c>
      <c r="D90" t="s">
        <v>8</v>
      </c>
      <c r="E90" t="s">
        <v>12</v>
      </c>
      <c r="F90" t="s">
        <v>13</v>
      </c>
      <c r="G90" t="s">
        <v>17</v>
      </c>
    </row>
    <row r="91" spans="1:7">
      <c r="A91">
        <v>90</v>
      </c>
      <c r="B91">
        <v>58</v>
      </c>
      <c r="C91">
        <v>45950.99</v>
      </c>
      <c r="D91" t="s">
        <v>7</v>
      </c>
      <c r="E91" t="s">
        <v>9</v>
      </c>
      <c r="F91" t="s">
        <v>15</v>
      </c>
      <c r="G91" t="s">
        <v>16</v>
      </c>
    </row>
    <row r="92" spans="1:7">
      <c r="A92">
        <v>91</v>
      </c>
      <c r="B92">
        <v>46</v>
      </c>
      <c r="C92">
        <v>47848.07</v>
      </c>
      <c r="D92" t="s">
        <v>8</v>
      </c>
      <c r="E92" t="s">
        <v>10</v>
      </c>
      <c r="F92" t="s">
        <v>15</v>
      </c>
      <c r="G92" t="s">
        <v>16</v>
      </c>
    </row>
    <row r="93" spans="1:7">
      <c r="A93">
        <v>92</v>
      </c>
      <c r="B93">
        <v>32</v>
      </c>
      <c r="C93">
        <v>59255.06</v>
      </c>
      <c r="D93" t="s">
        <v>7</v>
      </c>
      <c r="E93" t="s">
        <v>10</v>
      </c>
      <c r="F93" t="s">
        <v>15</v>
      </c>
      <c r="G93" t="s">
        <v>17</v>
      </c>
    </row>
    <row r="94" spans="1:7">
      <c r="A94">
        <v>93</v>
      </c>
      <c r="B94">
        <v>62</v>
      </c>
      <c r="C94">
        <v>68734.11</v>
      </c>
      <c r="D94" t="s">
        <v>8</v>
      </c>
      <c r="E94" t="s">
        <v>10</v>
      </c>
      <c r="F94" t="s">
        <v>14</v>
      </c>
      <c r="G94" t="s">
        <v>16</v>
      </c>
    </row>
    <row r="95" spans="1:7">
      <c r="A95">
        <v>94</v>
      </c>
      <c r="B95">
        <v>18</v>
      </c>
      <c r="C95">
        <v>50984.74</v>
      </c>
      <c r="D95" t="s">
        <v>7</v>
      </c>
      <c r="E95" t="s">
        <v>9</v>
      </c>
      <c r="F95" t="s">
        <v>15</v>
      </c>
      <c r="G95" t="s">
        <v>17</v>
      </c>
    </row>
    <row r="96" spans="1:7">
      <c r="A96">
        <v>95</v>
      </c>
      <c r="B96">
        <v>42</v>
      </c>
      <c r="C96">
        <v>67538.11</v>
      </c>
      <c r="D96" t="s">
        <v>8</v>
      </c>
      <c r="E96" t="s">
        <v>12</v>
      </c>
      <c r="F96" t="s">
        <v>13</v>
      </c>
      <c r="G96" t="s">
        <v>16</v>
      </c>
    </row>
    <row r="97" spans="1:7">
      <c r="A97">
        <v>96</v>
      </c>
      <c r="B97">
        <v>24</v>
      </c>
      <c r="C97">
        <v>63099.75</v>
      </c>
      <c r="D97" t="s">
        <v>7</v>
      </c>
      <c r="E97" t="s">
        <v>12</v>
      </c>
      <c r="F97" t="s">
        <v>15</v>
      </c>
      <c r="G97" t="s">
        <v>16</v>
      </c>
    </row>
    <row r="98" spans="1:7">
      <c r="A98">
        <v>97</v>
      </c>
      <c r="B98">
        <v>26</v>
      </c>
      <c r="C98">
        <v>53084.75</v>
      </c>
      <c r="D98" t="s">
        <v>8</v>
      </c>
      <c r="E98" t="s">
        <v>9</v>
      </c>
      <c r="F98" t="s">
        <v>15</v>
      </c>
      <c r="G98" t="s">
        <v>17</v>
      </c>
    </row>
    <row r="99" spans="1:7">
      <c r="A99">
        <v>98</v>
      </c>
      <c r="B99">
        <v>41</v>
      </c>
      <c r="C99">
        <v>28347.75</v>
      </c>
      <c r="D99" t="s">
        <v>8</v>
      </c>
      <c r="E99" t="s">
        <v>10</v>
      </c>
      <c r="F99" t="s">
        <v>13</v>
      </c>
      <c r="G99" t="s">
        <v>16</v>
      </c>
    </row>
    <row r="100" spans="1:7">
      <c r="A100">
        <v>99</v>
      </c>
      <c r="B100">
        <v>18</v>
      </c>
      <c r="C100">
        <v>34584.339999999997</v>
      </c>
      <c r="D100" t="s">
        <v>7</v>
      </c>
      <c r="E100" t="s">
        <v>10</v>
      </c>
      <c r="F100" t="s">
        <v>15</v>
      </c>
      <c r="G100" t="s">
        <v>17</v>
      </c>
    </row>
    <row r="101" spans="1:7">
      <c r="A101">
        <v>100</v>
      </c>
      <c r="B101">
        <v>61</v>
      </c>
      <c r="C101">
        <v>61118.61</v>
      </c>
      <c r="D101" t="s">
        <v>8</v>
      </c>
      <c r="E101" t="s">
        <v>12</v>
      </c>
      <c r="F101" t="s">
        <v>14</v>
      </c>
      <c r="G10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46FA-B814-F842-BA25-6D76B3DE2218}">
  <dimension ref="A1:W101"/>
  <sheetViews>
    <sheetView topLeftCell="L1" workbookViewId="0">
      <selection activeCell="H29" sqref="H29"/>
    </sheetView>
  </sheetViews>
  <sheetFormatPr baseColWidth="10" defaultRowHeight="16"/>
  <cols>
    <col min="1" max="5" width="10.83203125" style="12"/>
    <col min="6" max="6" width="17.83203125" style="12" bestFit="1" customWidth="1"/>
    <col min="7" max="7" width="25.83203125" style="12" bestFit="1" customWidth="1"/>
    <col min="8" max="8" width="26.6640625" style="12" bestFit="1" customWidth="1"/>
    <col min="9" max="9" width="19.6640625" style="12" bestFit="1" customWidth="1"/>
    <col min="10" max="11" width="10.83203125" style="12"/>
    <col min="12" max="12" width="22.6640625" style="12" bestFit="1" customWidth="1"/>
    <col min="14" max="14" width="17" bestFit="1" customWidth="1"/>
    <col min="15" max="15" width="17" customWidth="1"/>
    <col min="16" max="16" width="10.83203125" style="12"/>
    <col min="17" max="17" width="20.5" style="12" bestFit="1" customWidth="1"/>
    <col min="18" max="18" width="17.6640625" style="12" bestFit="1" customWidth="1"/>
    <col min="19" max="19" width="15.5" style="12" bestFit="1" customWidth="1"/>
    <col min="20" max="20" width="12.6640625" style="12" bestFit="1" customWidth="1"/>
    <col min="21" max="21" width="33.83203125" style="12" bestFit="1" customWidth="1"/>
    <col min="22" max="22" width="27.1640625" style="12" bestFit="1" customWidth="1"/>
    <col min="23" max="23" width="23.1640625" style="12" bestFit="1" customWidth="1"/>
    <col min="24" max="16384" width="10.83203125" style="12"/>
  </cols>
  <sheetData>
    <row r="1" spans="1:23" ht="1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52</v>
      </c>
      <c r="I1" s="12" t="s">
        <v>53</v>
      </c>
      <c r="J1" s="12" t="s">
        <v>54</v>
      </c>
      <c r="K1" s="12" t="s">
        <v>62</v>
      </c>
      <c r="L1" s="12" t="s">
        <v>51</v>
      </c>
      <c r="M1" s="25" t="s">
        <v>65</v>
      </c>
      <c r="N1" s="26" t="s">
        <v>73</v>
      </c>
      <c r="O1" s="26" t="s">
        <v>74</v>
      </c>
    </row>
    <row r="2" spans="1:23" ht="18">
      <c r="A2" s="12">
        <v>1</v>
      </c>
      <c r="B2" s="12">
        <v>56</v>
      </c>
      <c r="C2" s="12">
        <v>59544.58</v>
      </c>
      <c r="D2" s="12" t="s">
        <v>7</v>
      </c>
      <c r="E2" s="12" t="s">
        <v>9</v>
      </c>
      <c r="F2" s="12" t="s">
        <v>13</v>
      </c>
      <c r="G2" s="12" t="s">
        <v>16</v>
      </c>
      <c r="H2" s="12">
        <v>0</v>
      </c>
      <c r="I2" s="12">
        <v>2</v>
      </c>
      <c r="J2" s="12">
        <v>0</v>
      </c>
      <c r="K2" s="12">
        <f>COUNTIF(G$2:G$101,"Often Engaged")/COUNTA(G$2:G$101)*100</f>
        <v>46</v>
      </c>
      <c r="L2" s="12" t="str">
        <f>IF(AND(B2&gt;=18, B2&lt;=30),
    IF(N2&gt;=3, "Young Professionals", "Other"),
    IF(AND(B2&gt;=60, N2&gt;=3),
        "Wealthy Seniors",
        IF(AND(B2&gt;=31, B2&lt;=59, N2&gt;=2),
            "Moderately Engaged Prof.",
            IF(AND(B2&gt;=60, N2&lt;2),
                "Low-Income Retirees", "Other"))))</f>
        <v>Moderately Engaged Prof.</v>
      </c>
      <c r="M2" t="str">
        <f>IF(B2&lt;25,"18-24",IF(B2&lt;35,"25-34",IF(B2&lt;45,"35-44",IF(B2&lt;55,"45-54","55+"))))</f>
        <v>55+</v>
      </c>
      <c r="N2" s="26">
        <f>H2 + I2</f>
        <v>2</v>
      </c>
      <c r="O2" s="26">
        <f>AVERAGEIFS(C:C, L:L, L2, N:N, "&gt;="&amp;2)</f>
        <v>53730.51263157896</v>
      </c>
      <c r="Q2" s="3" t="s">
        <v>65</v>
      </c>
      <c r="R2" t="s">
        <v>66</v>
      </c>
    </row>
    <row r="3" spans="1:23" ht="18">
      <c r="A3" s="12">
        <v>2</v>
      </c>
      <c r="B3" s="12">
        <v>46</v>
      </c>
      <c r="C3" s="12">
        <v>36399.19</v>
      </c>
      <c r="D3" s="12" t="s">
        <v>7</v>
      </c>
      <c r="E3" s="12" t="s">
        <v>10</v>
      </c>
      <c r="F3" s="12" t="s">
        <v>14</v>
      </c>
      <c r="G3" s="12" t="s">
        <v>16</v>
      </c>
      <c r="H3" s="12">
        <v>2</v>
      </c>
      <c r="I3" s="12">
        <v>2</v>
      </c>
      <c r="J3" s="12">
        <v>3</v>
      </c>
      <c r="K3" s="12">
        <f t="shared" ref="K3:K66" si="0">COUNTIF(G$2:G$101,"Often Engaged")/COUNTA(G$2:G$101)*100</f>
        <v>46</v>
      </c>
      <c r="L3" s="12" t="str">
        <f>IF(AND(B3&gt;=18, B3&lt;=30),
    IF(N3&gt;=3, "Young Professionals", "Other"),
    IF(AND(B3&gt;=60, N3&gt;=3),
        "Wealthy Seniors",
        IF(AND(B3&gt;=31, B3&lt;=59, N3&gt;=2),
            "Moderately Engaged Prof.",
            IF(AND(B3&gt;=60, N3&lt;2),
                "Low-Income Retirees", "Other"))))</f>
        <v>Moderately Engaged Prof.</v>
      </c>
      <c r="M3" t="str">
        <f t="shared" ref="M3:M66" si="1">IF(B3&lt;25,"18-24",IF(B3&lt;35,"25-34",IF(B3&lt;45,"35-44",IF(B3&lt;55,"45-54","55+"))))</f>
        <v>45-54</v>
      </c>
      <c r="N3" s="26">
        <f>H3 + I3</f>
        <v>4</v>
      </c>
      <c r="O3" s="26">
        <f t="shared" ref="O3:O66" si="2">AVERAGEIFS(C:C, L:L, L3, N:N, "&gt;="&amp;2)</f>
        <v>53730.51263157896</v>
      </c>
      <c r="Q3"/>
      <c r="R3"/>
      <c r="S3"/>
      <c r="T3"/>
      <c r="U3"/>
    </row>
    <row r="4" spans="1:23" ht="18">
      <c r="A4" s="12">
        <v>3</v>
      </c>
      <c r="B4" s="12">
        <v>32</v>
      </c>
      <c r="C4" s="12">
        <v>57140.639999999999</v>
      </c>
      <c r="D4" s="12" t="s">
        <v>7</v>
      </c>
      <c r="E4" s="12" t="s">
        <v>9</v>
      </c>
      <c r="F4" s="12" t="s">
        <v>15</v>
      </c>
      <c r="G4" s="12" t="s">
        <v>17</v>
      </c>
      <c r="H4" s="12">
        <v>1</v>
      </c>
      <c r="I4" s="12">
        <v>0</v>
      </c>
      <c r="J4" s="12">
        <v>2</v>
      </c>
      <c r="K4" s="12">
        <f t="shared" si="0"/>
        <v>46</v>
      </c>
      <c r="L4" s="12" t="str">
        <f>IF(AND(B4&gt;=18, B4&lt;=30),
    IF(N4&gt;=3, "Young Professionals", "Other"),
    IF(AND(B4&gt;=60, N4&gt;=3),
        "Wealthy Seniors",
        IF(AND(B4&gt;=31, B4&lt;=59, N4&gt;=2),
            "Moderately Engaged Prof.",
            IF(AND(B4&gt;=60, N4&lt;2),
                "Low-Income Retirees", "Other"))))</f>
        <v>Other</v>
      </c>
      <c r="M4" t="str">
        <f t="shared" si="1"/>
        <v>25-34</v>
      </c>
      <c r="N4" s="26">
        <f>H4 + I4</f>
        <v>1</v>
      </c>
      <c r="O4" s="26">
        <f t="shared" si="2"/>
        <v>42046.358571428573</v>
      </c>
      <c r="Q4" s="3" t="s">
        <v>28</v>
      </c>
      <c r="R4" s="3" t="s">
        <v>27</v>
      </c>
      <c r="S4"/>
      <c r="T4"/>
      <c r="U4"/>
    </row>
    <row r="5" spans="1:23" ht="18">
      <c r="A5" s="12">
        <v>4</v>
      </c>
      <c r="B5" s="12">
        <v>60</v>
      </c>
      <c r="C5" s="12">
        <v>69554.92</v>
      </c>
      <c r="D5" s="12" t="s">
        <v>8</v>
      </c>
      <c r="E5" s="12" t="s">
        <v>10</v>
      </c>
      <c r="F5" s="12" t="s">
        <v>13</v>
      </c>
      <c r="G5" s="12" t="s">
        <v>18</v>
      </c>
      <c r="H5" s="12">
        <v>0</v>
      </c>
      <c r="I5" s="12">
        <v>1</v>
      </c>
      <c r="J5" s="12">
        <v>0</v>
      </c>
      <c r="K5" s="12">
        <f t="shared" si="0"/>
        <v>46</v>
      </c>
      <c r="L5" s="12" t="str">
        <f>IF(AND(B5&gt;=18, B5&lt;=30),
    IF(N5&gt;=3, "Young Professionals", "Other"),
    IF(AND(B5&gt;=60, N5&gt;=3),
        "Wealthy Seniors",
        IF(AND(B5&gt;=31, B5&lt;=59, N5&gt;=2),
            "Moderately Engaged Prof.",
            IF(AND(B5&gt;=60, N5&lt;2),
                "Low-Income Retirees", "Other"))))</f>
        <v>Low-Income Retirees</v>
      </c>
      <c r="M5" t="str">
        <f t="shared" si="1"/>
        <v>55+</v>
      </c>
      <c r="N5" s="26">
        <f>H5 + I5</f>
        <v>1</v>
      </c>
      <c r="O5" s="26" t="s">
        <v>75</v>
      </c>
      <c r="Q5" s="3" t="s">
        <v>20</v>
      </c>
      <c r="R5" t="s">
        <v>17</v>
      </c>
      <c r="S5" t="s">
        <v>16</v>
      </c>
      <c r="T5" t="s">
        <v>18</v>
      </c>
      <c r="U5" t="s">
        <v>26</v>
      </c>
    </row>
    <row r="6" spans="1:23" ht="18">
      <c r="A6" s="12">
        <v>5</v>
      </c>
      <c r="B6" s="12">
        <v>25</v>
      </c>
      <c r="C6" s="12">
        <v>53173.81</v>
      </c>
      <c r="D6" s="12" t="s">
        <v>7</v>
      </c>
      <c r="E6" s="12" t="s">
        <v>9</v>
      </c>
      <c r="F6" s="12" t="s">
        <v>15</v>
      </c>
      <c r="G6" s="12" t="s">
        <v>16</v>
      </c>
      <c r="H6" s="12">
        <v>1</v>
      </c>
      <c r="I6" s="12">
        <v>2</v>
      </c>
      <c r="J6" s="12">
        <v>1</v>
      </c>
      <c r="K6" s="12">
        <f t="shared" si="0"/>
        <v>46</v>
      </c>
      <c r="L6" s="12" t="str">
        <f>IF(AND(B6&gt;=18, B6&lt;=30),
    IF(N6&gt;=3, "Young Professionals", "Other"),
    IF(AND(B6&gt;=60, N6&gt;=3),
        "Wealthy Seniors",
        IF(AND(B6&gt;=31, B6&lt;=59, N6&gt;=2),
            "Moderately Engaged Prof.",
            IF(AND(B6&gt;=60, N6&lt;2),
                "Low-Income Retirees", "Other"))))</f>
        <v>Young Professionals</v>
      </c>
      <c r="M6" t="str">
        <f t="shared" si="1"/>
        <v>25-34</v>
      </c>
      <c r="N6" s="26">
        <f>H6 + I6</f>
        <v>3</v>
      </c>
      <c r="O6" s="26">
        <f t="shared" si="2"/>
        <v>50173.108</v>
      </c>
      <c r="Q6" s="4" t="s">
        <v>63</v>
      </c>
      <c r="R6" s="5">
        <v>21</v>
      </c>
      <c r="S6" s="5">
        <v>27</v>
      </c>
      <c r="T6" s="5">
        <v>13</v>
      </c>
      <c r="U6" s="5">
        <v>61</v>
      </c>
    </row>
    <row r="7" spans="1:23" ht="18">
      <c r="A7" s="12">
        <v>6</v>
      </c>
      <c r="B7" s="12">
        <v>38</v>
      </c>
      <c r="C7" s="12">
        <v>58955.67</v>
      </c>
      <c r="D7" s="12" t="s">
        <v>7</v>
      </c>
      <c r="E7" s="12" t="s">
        <v>11</v>
      </c>
      <c r="F7" s="12" t="s">
        <v>14</v>
      </c>
      <c r="G7" s="12" t="s">
        <v>17</v>
      </c>
      <c r="H7" s="12">
        <v>2</v>
      </c>
      <c r="I7" s="12">
        <v>0</v>
      </c>
      <c r="J7" s="12">
        <v>2</v>
      </c>
      <c r="K7" s="12">
        <f t="shared" si="0"/>
        <v>46</v>
      </c>
      <c r="L7" s="12" t="str">
        <f>IF(AND(B7&gt;=18, B7&lt;=30),
    IF(N7&gt;=3, "Young Professionals", "Other"),
    IF(AND(B7&gt;=60, N7&gt;=3),
        "Wealthy Seniors",
        IF(AND(B7&gt;=31, B7&lt;=59, N7&gt;=2),
            "Moderately Engaged Prof.",
            IF(AND(B7&gt;=60, N7&lt;2),
                "Low-Income Retirees", "Other"))))</f>
        <v>Moderately Engaged Prof.</v>
      </c>
      <c r="M7" t="str">
        <f t="shared" si="1"/>
        <v>35-44</v>
      </c>
      <c r="N7" s="26">
        <f>H7 + I7</f>
        <v>2</v>
      </c>
      <c r="O7" s="26">
        <f t="shared" si="2"/>
        <v>53730.51263157896</v>
      </c>
      <c r="Q7" s="4" t="s">
        <v>64</v>
      </c>
      <c r="R7" s="5">
        <v>11</v>
      </c>
      <c r="S7" s="5">
        <v>19</v>
      </c>
      <c r="T7" s="5">
        <v>9</v>
      </c>
      <c r="U7" s="5">
        <v>39</v>
      </c>
    </row>
    <row r="8" spans="1:23" ht="18">
      <c r="A8" s="12">
        <v>7</v>
      </c>
      <c r="B8" s="12">
        <v>56</v>
      </c>
      <c r="C8" s="12">
        <v>36554.97</v>
      </c>
      <c r="D8" s="12" t="s">
        <v>8</v>
      </c>
      <c r="E8" s="12" t="s">
        <v>9</v>
      </c>
      <c r="F8" s="12" t="s">
        <v>15</v>
      </c>
      <c r="G8" s="12" t="s">
        <v>18</v>
      </c>
      <c r="H8" s="12">
        <v>1</v>
      </c>
      <c r="I8" s="12">
        <v>1</v>
      </c>
      <c r="J8" s="12">
        <v>3</v>
      </c>
      <c r="K8" s="12">
        <f t="shared" si="0"/>
        <v>46</v>
      </c>
      <c r="L8" s="12" t="str">
        <f>IF(AND(B8&gt;=18, B8&lt;=30),
    IF(N8&gt;=3, "Young Professionals", "Other"),
    IF(AND(B8&gt;=60, N8&gt;=3),
        "Wealthy Seniors",
        IF(AND(B8&gt;=31, B8&lt;=59, N8&gt;=2),
            "Moderately Engaged Prof.",
            IF(AND(B8&gt;=60, N8&lt;2),
                "Low-Income Retirees", "Other"))))</f>
        <v>Moderately Engaged Prof.</v>
      </c>
      <c r="M8" t="str">
        <f t="shared" si="1"/>
        <v>55+</v>
      </c>
      <c r="N8" s="26">
        <f>H8 + I8</f>
        <v>2</v>
      </c>
      <c r="O8" s="26">
        <f t="shared" si="2"/>
        <v>53730.51263157896</v>
      </c>
      <c r="Q8" s="4" t="s">
        <v>26</v>
      </c>
      <c r="R8" s="5">
        <v>32</v>
      </c>
      <c r="S8" s="5">
        <v>46</v>
      </c>
      <c r="T8" s="5">
        <v>22</v>
      </c>
      <c r="U8" s="5">
        <v>100</v>
      </c>
    </row>
    <row r="9" spans="1:23" ht="18">
      <c r="A9" s="12">
        <v>8</v>
      </c>
      <c r="B9" s="12">
        <v>36</v>
      </c>
      <c r="C9" s="12">
        <v>48320.18</v>
      </c>
      <c r="D9" s="12" t="s">
        <v>7</v>
      </c>
      <c r="E9" s="12" t="s">
        <v>11</v>
      </c>
      <c r="F9" s="12" t="s">
        <v>15</v>
      </c>
      <c r="G9" s="12" t="s">
        <v>17</v>
      </c>
      <c r="H9" s="12">
        <v>1</v>
      </c>
      <c r="I9" s="12">
        <v>0</v>
      </c>
      <c r="J9" s="12">
        <v>2</v>
      </c>
      <c r="K9" s="12">
        <f t="shared" si="0"/>
        <v>46</v>
      </c>
      <c r="L9" s="12" t="str">
        <f>IF(AND(B9&gt;=18, B9&lt;=30),
    IF(N9&gt;=3, "Young Professionals", "Other"),
    IF(AND(B9&gt;=60, N9&gt;=3),
        "Wealthy Seniors",
        IF(AND(B9&gt;=31, B9&lt;=59, N9&gt;=2),
            "Moderately Engaged Prof.",
            IF(AND(B9&gt;=60, N9&lt;2),
                "Low-Income Retirees", "Other"))))</f>
        <v>Other</v>
      </c>
      <c r="M9" t="str">
        <f t="shared" si="1"/>
        <v>35-44</v>
      </c>
      <c r="N9" s="26">
        <f>H9 + I9</f>
        <v>1</v>
      </c>
      <c r="O9" s="26">
        <f t="shared" si="2"/>
        <v>42046.358571428573</v>
      </c>
      <c r="Q9"/>
      <c r="R9"/>
      <c r="S9"/>
    </row>
    <row r="10" spans="1:23" ht="18">
      <c r="A10" s="12">
        <v>9</v>
      </c>
      <c r="B10" s="12">
        <v>40</v>
      </c>
      <c r="C10" s="12">
        <v>72034.12</v>
      </c>
      <c r="D10" s="12" t="s">
        <v>8</v>
      </c>
      <c r="E10" s="12" t="s">
        <v>9</v>
      </c>
      <c r="F10" s="12" t="s">
        <v>15</v>
      </c>
      <c r="G10" s="12" t="s">
        <v>16</v>
      </c>
      <c r="H10" s="12">
        <v>1</v>
      </c>
      <c r="I10" s="12">
        <v>2</v>
      </c>
      <c r="J10" s="12">
        <v>1</v>
      </c>
      <c r="K10" s="12">
        <f t="shared" si="0"/>
        <v>46</v>
      </c>
      <c r="L10" s="12" t="str">
        <f>IF(AND(B10&gt;=18, B10&lt;=30),
    IF(N10&gt;=3, "Young Professionals", "Other"),
    IF(AND(B10&gt;=60, N10&gt;=3),
        "Wealthy Seniors",
        IF(AND(B10&gt;=31, B10&lt;=59, N10&gt;=2),
            "Moderately Engaged Prof.",
            IF(AND(B10&gt;=60, N10&lt;2),
                "Low-Income Retirees", "Other"))))</f>
        <v>Moderately Engaged Prof.</v>
      </c>
      <c r="M10" t="str">
        <f t="shared" si="1"/>
        <v>35-44</v>
      </c>
      <c r="N10" s="26">
        <f>H10 + I10</f>
        <v>3</v>
      </c>
      <c r="O10" s="26">
        <f t="shared" si="2"/>
        <v>53730.51263157896</v>
      </c>
      <c r="Q10"/>
      <c r="R10"/>
      <c r="S10"/>
    </row>
    <row r="11" spans="1:23" ht="18">
      <c r="A11" s="12">
        <v>10</v>
      </c>
      <c r="B11" s="12">
        <v>28</v>
      </c>
      <c r="C11" s="12">
        <v>33141.519999999997</v>
      </c>
      <c r="D11" s="12" t="s">
        <v>7</v>
      </c>
      <c r="E11" s="12" t="s">
        <v>9</v>
      </c>
      <c r="F11" s="12" t="s">
        <v>15</v>
      </c>
      <c r="G11" s="12" t="s">
        <v>16</v>
      </c>
      <c r="H11" s="12">
        <v>1</v>
      </c>
      <c r="I11" s="12">
        <v>2</v>
      </c>
      <c r="J11" s="12">
        <v>1</v>
      </c>
      <c r="K11" s="12">
        <f t="shared" si="0"/>
        <v>46</v>
      </c>
      <c r="L11" s="12" t="str">
        <f>IF(AND(B11&gt;=18, B11&lt;=30),
    IF(N11&gt;=3, "Young Professionals", "Other"),
    IF(AND(B11&gt;=60, N11&gt;=3),
        "Wealthy Seniors",
        IF(AND(B11&gt;=31, B11&lt;=59, N11&gt;=2),
            "Moderately Engaged Prof.",
            IF(AND(B11&gt;=60, N11&lt;2),
                "Low-Income Retirees", "Other"))))</f>
        <v>Young Professionals</v>
      </c>
      <c r="M11" t="str">
        <f t="shared" si="1"/>
        <v>25-34</v>
      </c>
      <c r="N11" s="26">
        <f>H11 + I11</f>
        <v>3</v>
      </c>
      <c r="O11" s="26">
        <f t="shared" si="2"/>
        <v>50173.108</v>
      </c>
      <c r="Q11"/>
      <c r="R11"/>
      <c r="S11"/>
    </row>
    <row r="12" spans="1:23" ht="18">
      <c r="A12" s="12">
        <v>11</v>
      </c>
      <c r="B12" s="12">
        <v>28</v>
      </c>
      <c r="C12" s="12">
        <v>64250.080000000002</v>
      </c>
      <c r="D12" s="12" t="s">
        <v>7</v>
      </c>
      <c r="E12" s="12" t="s">
        <v>12</v>
      </c>
      <c r="F12" s="12" t="s">
        <v>14</v>
      </c>
      <c r="G12" s="12" t="s">
        <v>16</v>
      </c>
      <c r="H12" s="12">
        <v>2</v>
      </c>
      <c r="I12" s="12">
        <v>2</v>
      </c>
      <c r="J12" s="12">
        <v>1</v>
      </c>
      <c r="K12" s="12">
        <f t="shared" si="0"/>
        <v>46</v>
      </c>
      <c r="L12" s="12" t="str">
        <f>IF(AND(B12&gt;=18, B12&lt;=30),
    IF(N12&gt;=3, "Young Professionals", "Other"),
    IF(AND(B12&gt;=60, N12&gt;=3),
        "Wealthy Seniors",
        IF(AND(B12&gt;=31, B12&lt;=59, N12&gt;=2),
            "Moderately Engaged Prof.",
            IF(AND(B12&gt;=60, N12&lt;2),
                "Low-Income Retirees", "Other"))))</f>
        <v>Young Professionals</v>
      </c>
      <c r="M12" t="str">
        <f t="shared" si="1"/>
        <v>25-34</v>
      </c>
      <c r="N12" s="26">
        <f>H12 + I12</f>
        <v>4</v>
      </c>
      <c r="O12" s="26">
        <f t="shared" si="2"/>
        <v>50173.108</v>
      </c>
      <c r="Q12" s="3" t="s">
        <v>20</v>
      </c>
      <c r="R12" t="s">
        <v>68</v>
      </c>
      <c r="S12" t="s">
        <v>28</v>
      </c>
      <c r="T12" t="s">
        <v>69</v>
      </c>
      <c r="U12" t="s">
        <v>70</v>
      </c>
      <c r="V12" t="s">
        <v>71</v>
      </c>
      <c r="W12" t="s">
        <v>72</v>
      </c>
    </row>
    <row r="13" spans="1:23" ht="18">
      <c r="A13" s="12">
        <v>12</v>
      </c>
      <c r="B13" s="12">
        <v>41</v>
      </c>
      <c r="C13" s="12">
        <v>75897.75</v>
      </c>
      <c r="D13" s="12" t="s">
        <v>7</v>
      </c>
      <c r="E13" s="12" t="s">
        <v>11</v>
      </c>
      <c r="F13" s="12" t="s">
        <v>15</v>
      </c>
      <c r="G13" s="12" t="s">
        <v>17</v>
      </c>
      <c r="H13" s="12">
        <v>1</v>
      </c>
      <c r="I13" s="12">
        <v>0</v>
      </c>
      <c r="J13" s="12">
        <v>2</v>
      </c>
      <c r="K13" s="12">
        <f t="shared" si="0"/>
        <v>46</v>
      </c>
      <c r="L13" s="12" t="str">
        <f>IF(AND(B13&gt;=18, B13&lt;=30),
    IF(N13&gt;=3, "Young Professionals", "Other"),
    IF(AND(B13&gt;=60, N13&gt;=3),
        "Wealthy Seniors",
        IF(AND(B13&gt;=31, B13&lt;=59, N13&gt;=2),
            "Moderately Engaged Prof.",
            IF(AND(B13&gt;=60, N13&lt;2),
                "Low-Income Retirees", "Other"))))</f>
        <v>Other</v>
      </c>
      <c r="M13" t="str">
        <f t="shared" si="1"/>
        <v>35-44</v>
      </c>
      <c r="N13" s="26">
        <f>H13 + I13</f>
        <v>1</v>
      </c>
      <c r="O13" s="26">
        <f t="shared" si="2"/>
        <v>42046.358571428573</v>
      </c>
      <c r="Q13" s="4" t="s">
        <v>63</v>
      </c>
      <c r="R13" s="5">
        <v>53420.986557377037</v>
      </c>
      <c r="S13" s="5">
        <v>61</v>
      </c>
      <c r="T13" s="5">
        <v>43.360655737704917</v>
      </c>
      <c r="U13" s="5">
        <v>1</v>
      </c>
      <c r="V13" s="5">
        <v>1.098360655737705</v>
      </c>
      <c r="W13" s="5">
        <v>1.4918032786885247</v>
      </c>
    </row>
    <row r="14" spans="1:23" ht="18">
      <c r="A14" s="12">
        <v>13</v>
      </c>
      <c r="B14" s="12">
        <v>53</v>
      </c>
      <c r="C14" s="12">
        <v>56868.28</v>
      </c>
      <c r="D14" s="12" t="s">
        <v>8</v>
      </c>
      <c r="E14" s="12" t="s">
        <v>12</v>
      </c>
      <c r="F14" s="12" t="s">
        <v>15</v>
      </c>
      <c r="G14" s="12" t="s">
        <v>17</v>
      </c>
      <c r="H14" s="12">
        <v>1</v>
      </c>
      <c r="I14" s="12">
        <v>0</v>
      </c>
      <c r="J14" s="12">
        <v>2</v>
      </c>
      <c r="K14" s="12">
        <f t="shared" si="0"/>
        <v>46</v>
      </c>
      <c r="L14" s="12" t="str">
        <f>IF(AND(B14&gt;=18, B14&lt;=30),
    IF(N14&gt;=3, "Young Professionals", "Other"),
    IF(AND(B14&gt;=60, N14&gt;=3),
        "Wealthy Seniors",
        IF(AND(B14&gt;=31, B14&lt;=59, N14&gt;=2),
            "Moderately Engaged Prof.",
            IF(AND(B14&gt;=60, N14&lt;2),
                "Low-Income Retirees", "Other"))))</f>
        <v>Other</v>
      </c>
      <c r="M14" t="str">
        <f t="shared" si="1"/>
        <v>45-54</v>
      </c>
      <c r="N14" s="26">
        <f>H14 + I14</f>
        <v>1</v>
      </c>
      <c r="O14" s="26">
        <f t="shared" si="2"/>
        <v>42046.358571428573</v>
      </c>
      <c r="Q14" s="4" t="s">
        <v>64</v>
      </c>
      <c r="R14" s="5">
        <v>47284.209487179505</v>
      </c>
      <c r="S14" s="5">
        <v>39</v>
      </c>
      <c r="T14" s="5">
        <v>37</v>
      </c>
      <c r="U14" s="5">
        <v>1.2307692307692308</v>
      </c>
      <c r="V14" s="5">
        <v>1.2051282051282051</v>
      </c>
      <c r="W14" s="5">
        <v>1.5641025641025641</v>
      </c>
    </row>
    <row r="15" spans="1:23" ht="18">
      <c r="A15" s="12">
        <v>14</v>
      </c>
      <c r="B15" s="12">
        <v>57</v>
      </c>
      <c r="C15" s="12">
        <v>24735.69</v>
      </c>
      <c r="D15" s="12" t="s">
        <v>8</v>
      </c>
      <c r="E15" s="12" t="s">
        <v>11</v>
      </c>
      <c r="F15" s="12" t="s">
        <v>13</v>
      </c>
      <c r="G15" s="12" t="s">
        <v>16</v>
      </c>
      <c r="H15" s="12">
        <v>0</v>
      </c>
      <c r="I15" s="12">
        <v>2</v>
      </c>
      <c r="J15" s="12">
        <v>0</v>
      </c>
      <c r="K15" s="12">
        <f t="shared" si="0"/>
        <v>46</v>
      </c>
      <c r="L15" s="12" t="str">
        <f>IF(AND(B15&gt;=18, B15&lt;=30),
    IF(N15&gt;=3, "Young Professionals", "Other"),
    IF(AND(B15&gt;=60, N15&gt;=3),
        "Wealthy Seniors",
        IF(AND(B15&gt;=31, B15&lt;=59, N15&gt;=2),
            "Moderately Engaged Prof.",
            IF(AND(B15&gt;=60, N15&lt;2),
                "Low-Income Retirees", "Other"))))</f>
        <v>Moderately Engaged Prof.</v>
      </c>
      <c r="M15" t="str">
        <f t="shared" si="1"/>
        <v>55+</v>
      </c>
      <c r="N15" s="26">
        <f>H15 + I15</f>
        <v>2</v>
      </c>
      <c r="O15" s="26">
        <f t="shared" si="2"/>
        <v>53730.51263157896</v>
      </c>
      <c r="Q15" s="4" t="s">
        <v>26</v>
      </c>
      <c r="R15" s="5">
        <v>51027.643499999984</v>
      </c>
      <c r="S15" s="5">
        <v>100</v>
      </c>
      <c r="T15" s="5">
        <v>40.880000000000003</v>
      </c>
      <c r="U15" s="5">
        <v>1.0900000000000001</v>
      </c>
      <c r="V15" s="5">
        <v>1.1399999999999999</v>
      </c>
      <c r="W15" s="5">
        <v>1.52</v>
      </c>
    </row>
    <row r="16" spans="1:23" ht="18">
      <c r="A16" s="12">
        <v>15</v>
      </c>
      <c r="B16" s="12">
        <v>41</v>
      </c>
      <c r="C16" s="12">
        <v>54902.68</v>
      </c>
      <c r="D16" s="12" t="s">
        <v>7</v>
      </c>
      <c r="E16" s="12" t="s">
        <v>12</v>
      </c>
      <c r="F16" s="12" t="s">
        <v>15</v>
      </c>
      <c r="G16" s="12" t="s">
        <v>17</v>
      </c>
      <c r="H16" s="12">
        <v>1</v>
      </c>
      <c r="I16" s="12">
        <v>0</v>
      </c>
      <c r="J16" s="12">
        <v>2</v>
      </c>
      <c r="K16" s="12">
        <f t="shared" si="0"/>
        <v>46</v>
      </c>
      <c r="L16" s="12" t="str">
        <f>IF(AND(B16&gt;=18, B16&lt;=30),
    IF(N16&gt;=3, "Young Professionals", "Other"),
    IF(AND(B16&gt;=60, N16&gt;=3),
        "Wealthy Seniors",
        IF(AND(B16&gt;=31, B16&lt;=59, N16&gt;=2),
            "Moderately Engaged Prof.",
            IF(AND(B16&gt;=60, N16&lt;2),
                "Low-Income Retirees", "Other"))))</f>
        <v>Other</v>
      </c>
      <c r="M16" t="str">
        <f t="shared" si="1"/>
        <v>35-44</v>
      </c>
      <c r="N16" s="26">
        <f>H16 + I16</f>
        <v>1</v>
      </c>
      <c r="O16" s="26">
        <f t="shared" si="2"/>
        <v>42046.358571428573</v>
      </c>
      <c r="Q16"/>
      <c r="R16"/>
      <c r="S16"/>
    </row>
    <row r="17" spans="1:19" ht="18">
      <c r="A17" s="12">
        <v>16</v>
      </c>
      <c r="B17" s="12">
        <v>20</v>
      </c>
      <c r="C17" s="12">
        <v>48783.22</v>
      </c>
      <c r="D17" s="12" t="s">
        <v>8</v>
      </c>
      <c r="E17" s="12" t="s">
        <v>10</v>
      </c>
      <c r="F17" s="12" t="s">
        <v>13</v>
      </c>
      <c r="G17" s="12" t="s">
        <v>16</v>
      </c>
      <c r="H17" s="12">
        <v>0</v>
      </c>
      <c r="I17" s="12">
        <v>2</v>
      </c>
      <c r="J17" s="12">
        <v>0</v>
      </c>
      <c r="K17" s="12">
        <f t="shared" si="0"/>
        <v>46</v>
      </c>
      <c r="L17" s="12" t="str">
        <f>IF(AND(B17&gt;=18, B17&lt;=30),
    IF(N17&gt;=3, "Young Professionals", "Other"),
    IF(AND(B17&gt;=60, N17&gt;=3),
        "Wealthy Seniors",
        IF(AND(B17&gt;=31, B17&lt;=59, N17&gt;=2),
            "Moderately Engaged Prof.",
            IF(AND(B17&gt;=60, N17&lt;2),
                "Low-Income Retirees", "Other"))))</f>
        <v>Other</v>
      </c>
      <c r="M17" t="str">
        <f t="shared" si="1"/>
        <v>18-24</v>
      </c>
      <c r="N17" s="26">
        <f>H17 + I17</f>
        <v>2</v>
      </c>
      <c r="O17" s="26">
        <f t="shared" si="2"/>
        <v>42046.358571428573</v>
      </c>
      <c r="P17" s="12">
        <v>50888.975709999999</v>
      </c>
      <c r="Q17"/>
      <c r="R17"/>
      <c r="S17"/>
    </row>
    <row r="18" spans="1:19" ht="18">
      <c r="A18" s="12">
        <v>17</v>
      </c>
      <c r="B18" s="12">
        <v>39</v>
      </c>
      <c r="C18" s="12">
        <v>57016.92</v>
      </c>
      <c r="D18" s="12" t="s">
        <v>8</v>
      </c>
      <c r="E18" s="12" t="s">
        <v>9</v>
      </c>
      <c r="F18" s="12" t="s">
        <v>14</v>
      </c>
      <c r="G18" s="12" t="s">
        <v>16</v>
      </c>
      <c r="H18" s="12">
        <v>2</v>
      </c>
      <c r="I18" s="12">
        <v>2</v>
      </c>
      <c r="J18" s="12">
        <v>1</v>
      </c>
      <c r="K18" s="12">
        <f t="shared" si="0"/>
        <v>46</v>
      </c>
      <c r="L18" s="12" t="str">
        <f>IF(AND(B18&gt;=18, B18&lt;=30),
    IF(N18&gt;=3, "Young Professionals", "Other"),
    IF(AND(B18&gt;=60, N18&gt;=3),
        "Wealthy Seniors",
        IF(AND(B18&gt;=31, B18&lt;=59, N18&gt;=2),
            "Moderately Engaged Prof.",
            IF(AND(B18&gt;=60, N18&lt;2),
                "Low-Income Retirees", "Other"))))</f>
        <v>Moderately Engaged Prof.</v>
      </c>
      <c r="M18" t="str">
        <f t="shared" si="1"/>
        <v>35-44</v>
      </c>
      <c r="N18" s="26">
        <f>H18 + I18</f>
        <v>4</v>
      </c>
      <c r="O18" s="26">
        <f t="shared" si="2"/>
        <v>53730.51263157896</v>
      </c>
    </row>
    <row r="19" spans="1:19" ht="18">
      <c r="A19" s="12">
        <v>18</v>
      </c>
      <c r="B19" s="12">
        <v>19</v>
      </c>
      <c r="C19" s="12">
        <v>61041.84</v>
      </c>
      <c r="D19" s="12" t="s">
        <v>8</v>
      </c>
      <c r="E19" s="12" t="s">
        <v>11</v>
      </c>
      <c r="F19" s="12" t="s">
        <v>14</v>
      </c>
      <c r="G19" s="12" t="s">
        <v>18</v>
      </c>
      <c r="H19" s="12">
        <v>2</v>
      </c>
      <c r="I19" s="12">
        <v>1</v>
      </c>
      <c r="J19" s="12">
        <v>1</v>
      </c>
      <c r="K19" s="12">
        <f t="shared" si="0"/>
        <v>46</v>
      </c>
      <c r="L19" s="12" t="str">
        <f>IF(AND(B19&gt;=18, B19&lt;=30),
    IF(N19&gt;=3, "Young Professionals", "Other"),
    IF(AND(B19&gt;=60, N19&gt;=3),
        "Wealthy Seniors",
        IF(AND(B19&gt;=31, B19&lt;=59, N19&gt;=2),
            "Moderately Engaged Prof.",
            IF(AND(B19&gt;=60, N19&lt;2),
                "Low-Income Retirees", "Other"))))</f>
        <v>Young Professionals</v>
      </c>
      <c r="M19" t="str">
        <f t="shared" si="1"/>
        <v>18-24</v>
      </c>
      <c r="N19" s="26">
        <f>H19 + I19</f>
        <v>3</v>
      </c>
      <c r="O19" s="26">
        <f t="shared" si="2"/>
        <v>50173.108</v>
      </c>
    </row>
    <row r="20" spans="1:19" ht="18">
      <c r="A20" s="12">
        <v>19</v>
      </c>
      <c r="B20" s="12">
        <v>41</v>
      </c>
      <c r="C20" s="12">
        <v>38304.47</v>
      </c>
      <c r="D20" s="12" t="s">
        <v>8</v>
      </c>
      <c r="E20" s="12" t="s">
        <v>11</v>
      </c>
      <c r="F20" s="12" t="s">
        <v>14</v>
      </c>
      <c r="G20" s="12" t="s">
        <v>17</v>
      </c>
      <c r="H20" s="12">
        <v>2</v>
      </c>
      <c r="I20" s="12">
        <v>0</v>
      </c>
      <c r="J20" s="12">
        <v>2</v>
      </c>
      <c r="K20" s="12">
        <f t="shared" si="0"/>
        <v>46</v>
      </c>
      <c r="L20" s="12" t="str">
        <f>IF(AND(B20&gt;=18, B20&lt;=30),
    IF(N20&gt;=3, "Young Professionals", "Other"),
    IF(AND(B20&gt;=60, N20&gt;=3),
        "Wealthy Seniors",
        IF(AND(B20&gt;=31, B20&lt;=59, N20&gt;=2),
            "Moderately Engaged Prof.",
            IF(AND(B20&gt;=60, N20&lt;2),
                "Low-Income Retirees", "Other"))))</f>
        <v>Moderately Engaged Prof.</v>
      </c>
      <c r="M20" t="str">
        <f t="shared" si="1"/>
        <v>35-44</v>
      </c>
      <c r="N20" s="26">
        <f>H20 + I20</f>
        <v>2</v>
      </c>
      <c r="O20" s="26">
        <f t="shared" si="2"/>
        <v>53730.51263157896</v>
      </c>
    </row>
    <row r="21" spans="1:19" ht="18">
      <c r="A21" s="12">
        <v>20</v>
      </c>
      <c r="B21" s="12">
        <v>61</v>
      </c>
      <c r="C21" s="12">
        <v>37341.550000000003</v>
      </c>
      <c r="D21" s="12" t="s">
        <v>8</v>
      </c>
      <c r="E21" s="12" t="s">
        <v>9</v>
      </c>
      <c r="F21" s="12" t="s">
        <v>14</v>
      </c>
      <c r="G21" s="12" t="s">
        <v>16</v>
      </c>
      <c r="H21" s="12">
        <v>2</v>
      </c>
      <c r="I21" s="12">
        <v>2</v>
      </c>
      <c r="J21" s="12">
        <v>3</v>
      </c>
      <c r="K21" s="12">
        <f t="shared" si="0"/>
        <v>46</v>
      </c>
      <c r="L21" s="12" t="str">
        <f>IF(AND(B21&gt;=18, B21&lt;=30),
    IF(N21&gt;=3, "Young Professionals", "Other"),
    IF(AND(B21&gt;=60, N21&gt;=3),
        "Wealthy Seniors",
        IF(AND(B21&gt;=31, B21&lt;=59, N21&gt;=2),
            "Moderately Engaged Prof.",
            IF(AND(B21&gt;=60, N21&lt;2),
                "Low-Income Retirees", "Other"))))</f>
        <v>Wealthy Seniors</v>
      </c>
      <c r="M21" t="str">
        <f t="shared" si="1"/>
        <v>55+</v>
      </c>
      <c r="N21" s="26">
        <f>H21 + I21</f>
        <v>4</v>
      </c>
      <c r="O21" s="26">
        <f t="shared" si="2"/>
        <v>54385.223333333328</v>
      </c>
    </row>
    <row r="22" spans="1:19" ht="18">
      <c r="A22" s="12">
        <v>21</v>
      </c>
      <c r="B22" s="12">
        <v>47</v>
      </c>
      <c r="C22" s="12">
        <v>47741.99</v>
      </c>
      <c r="D22" s="12" t="s">
        <v>8</v>
      </c>
      <c r="E22" s="12" t="s">
        <v>11</v>
      </c>
      <c r="F22" s="12" t="s">
        <v>13</v>
      </c>
      <c r="G22" s="12" t="s">
        <v>16</v>
      </c>
      <c r="H22" s="12">
        <v>0</v>
      </c>
      <c r="I22" s="12">
        <v>2</v>
      </c>
      <c r="J22" s="12">
        <v>0</v>
      </c>
      <c r="K22" s="12">
        <f t="shared" si="0"/>
        <v>46</v>
      </c>
      <c r="L22" s="12" t="str">
        <f>IF(AND(B22&gt;=18, B22&lt;=30),
    IF(N22&gt;=3, "Young Professionals", "Other"),
    IF(AND(B22&gt;=60, N22&gt;=3),
        "Wealthy Seniors",
        IF(AND(B22&gt;=31, B22&lt;=59, N22&gt;=2),
            "Moderately Engaged Prof.",
            IF(AND(B22&gt;=60, N22&lt;2),
                "Low-Income Retirees", "Other"))))</f>
        <v>Moderately Engaged Prof.</v>
      </c>
      <c r="M22" t="str">
        <f t="shared" si="1"/>
        <v>45-54</v>
      </c>
      <c r="N22" s="26">
        <f>H22 + I22</f>
        <v>2</v>
      </c>
      <c r="O22" s="26">
        <f t="shared" si="2"/>
        <v>53730.51263157896</v>
      </c>
    </row>
    <row r="23" spans="1:19" ht="18">
      <c r="A23" s="12">
        <v>22</v>
      </c>
      <c r="B23" s="12">
        <v>55</v>
      </c>
      <c r="C23" s="12">
        <v>35516.629999999997</v>
      </c>
      <c r="D23" s="12" t="s">
        <v>7</v>
      </c>
      <c r="E23" s="12" t="s">
        <v>11</v>
      </c>
      <c r="F23" s="12" t="s">
        <v>15</v>
      </c>
      <c r="G23" s="12" t="s">
        <v>17</v>
      </c>
      <c r="H23" s="12">
        <v>1</v>
      </c>
      <c r="I23" s="12">
        <v>0</v>
      </c>
      <c r="J23" s="12">
        <v>2</v>
      </c>
      <c r="K23" s="12">
        <f t="shared" si="0"/>
        <v>46</v>
      </c>
      <c r="L23" s="12" t="str">
        <f>IF(AND(B23&gt;=18, B23&lt;=30),
    IF(N23&gt;=3, "Young Professionals", "Other"),
    IF(AND(B23&gt;=60, N23&gt;=3),
        "Wealthy Seniors",
        IF(AND(B23&gt;=31, B23&lt;=59, N23&gt;=2),
            "Moderately Engaged Prof.",
            IF(AND(B23&gt;=60, N23&lt;2),
                "Low-Income Retirees", "Other"))))</f>
        <v>Other</v>
      </c>
      <c r="M23" t="str">
        <f t="shared" si="1"/>
        <v>55+</v>
      </c>
      <c r="N23" s="26">
        <f>H23 + I23</f>
        <v>1</v>
      </c>
      <c r="O23" s="26">
        <f t="shared" si="2"/>
        <v>42046.358571428573</v>
      </c>
    </row>
    <row r="24" spans="1:19" ht="18">
      <c r="A24" s="12">
        <v>23</v>
      </c>
      <c r="B24" s="12">
        <v>19</v>
      </c>
      <c r="C24" s="12">
        <v>52257.34</v>
      </c>
      <c r="D24" s="12" t="s">
        <v>7</v>
      </c>
      <c r="E24" s="12" t="s">
        <v>12</v>
      </c>
      <c r="F24" s="12" t="s">
        <v>14</v>
      </c>
      <c r="G24" s="12" t="s">
        <v>18</v>
      </c>
      <c r="H24" s="12">
        <v>2</v>
      </c>
      <c r="I24" s="12">
        <v>1</v>
      </c>
      <c r="J24" s="12">
        <v>1</v>
      </c>
      <c r="K24" s="12">
        <f t="shared" si="0"/>
        <v>46</v>
      </c>
      <c r="L24" s="12" t="str">
        <f>IF(AND(B24&gt;=18, B24&lt;=30),
    IF(N24&gt;=3, "Young Professionals", "Other"),
    IF(AND(B24&gt;=60, N24&gt;=3),
        "Wealthy Seniors",
        IF(AND(B24&gt;=31, B24&lt;=59, N24&gt;=2),
            "Moderately Engaged Prof.",
            IF(AND(B24&gt;=60, N24&lt;2),
                "Low-Income Retirees", "Other"))))</f>
        <v>Young Professionals</v>
      </c>
      <c r="M24" t="str">
        <f t="shared" si="1"/>
        <v>18-24</v>
      </c>
      <c r="N24" s="26">
        <f>H24 + I24</f>
        <v>3</v>
      </c>
      <c r="O24" s="26">
        <f t="shared" si="2"/>
        <v>50173.108</v>
      </c>
    </row>
    <row r="25" spans="1:19" ht="18">
      <c r="A25" s="12">
        <v>24</v>
      </c>
      <c r="B25" s="12">
        <v>38</v>
      </c>
      <c r="C25" s="12">
        <v>48298.68</v>
      </c>
      <c r="D25" s="12" t="s">
        <v>8</v>
      </c>
      <c r="E25" s="12" t="s">
        <v>11</v>
      </c>
      <c r="F25" s="12" t="s">
        <v>15</v>
      </c>
      <c r="G25" s="12" t="s">
        <v>18</v>
      </c>
      <c r="H25" s="12">
        <v>1</v>
      </c>
      <c r="I25" s="12">
        <v>1</v>
      </c>
      <c r="J25" s="12">
        <v>2</v>
      </c>
      <c r="K25" s="12">
        <f t="shared" si="0"/>
        <v>46</v>
      </c>
      <c r="L25" s="12" t="str">
        <f>IF(AND(B25&gt;=18, B25&lt;=30),
    IF(N25&gt;=3, "Young Professionals", "Other"),
    IF(AND(B25&gt;=60, N25&gt;=3),
        "Wealthy Seniors",
        IF(AND(B25&gt;=31, B25&lt;=59, N25&gt;=2),
            "Moderately Engaged Prof.",
            IF(AND(B25&gt;=60, N25&lt;2),
                "Low-Income Retirees", "Other"))))</f>
        <v>Moderately Engaged Prof.</v>
      </c>
      <c r="M25" t="str">
        <f t="shared" si="1"/>
        <v>35-44</v>
      </c>
      <c r="N25" s="26">
        <f>H25 + I25</f>
        <v>2</v>
      </c>
      <c r="O25" s="26">
        <f t="shared" si="2"/>
        <v>53730.51263157896</v>
      </c>
      <c r="Q25"/>
      <c r="R25"/>
      <c r="S25"/>
    </row>
    <row r="26" spans="1:19" ht="18">
      <c r="A26" s="12">
        <v>25</v>
      </c>
      <c r="B26" s="12">
        <v>50</v>
      </c>
      <c r="C26" s="12">
        <v>89502.92</v>
      </c>
      <c r="D26" s="12" t="s">
        <v>7</v>
      </c>
      <c r="E26" s="12" t="s">
        <v>10</v>
      </c>
      <c r="F26" s="12" t="s">
        <v>13</v>
      </c>
      <c r="G26" s="12" t="s">
        <v>16</v>
      </c>
      <c r="H26" s="12">
        <v>0</v>
      </c>
      <c r="I26" s="12">
        <v>2</v>
      </c>
      <c r="J26" s="12">
        <v>0</v>
      </c>
      <c r="K26" s="12">
        <f t="shared" si="0"/>
        <v>46</v>
      </c>
      <c r="L26" s="12" t="str">
        <f>IF(AND(B26&gt;=18, B26&lt;=30),
    IF(N26&gt;=3, "Young Professionals", "Other"),
    IF(AND(B26&gt;=60, N26&gt;=3),
        "Wealthy Seniors",
        IF(AND(B26&gt;=31, B26&lt;=59, N26&gt;=2),
            "Moderately Engaged Prof.",
            IF(AND(B26&gt;=60, N26&lt;2),
                "Low-Income Retirees", "Other"))))</f>
        <v>Moderately Engaged Prof.</v>
      </c>
      <c r="M26" t="str">
        <f t="shared" si="1"/>
        <v>45-54</v>
      </c>
      <c r="N26" s="26">
        <f>H26 + I26</f>
        <v>2</v>
      </c>
      <c r="O26" s="26">
        <f t="shared" si="2"/>
        <v>53730.51263157896</v>
      </c>
      <c r="Q26"/>
      <c r="R26"/>
      <c r="S26"/>
    </row>
    <row r="27" spans="1:19" ht="18">
      <c r="A27" s="12">
        <v>26</v>
      </c>
      <c r="B27" s="12">
        <v>29</v>
      </c>
      <c r="C27" s="12">
        <v>34623.64</v>
      </c>
      <c r="D27" s="12" t="s">
        <v>7</v>
      </c>
      <c r="E27" s="12" t="s">
        <v>10</v>
      </c>
      <c r="F27" s="12" t="s">
        <v>13</v>
      </c>
      <c r="G27" s="12" t="s">
        <v>17</v>
      </c>
      <c r="H27" s="12">
        <v>0</v>
      </c>
      <c r="I27" s="12">
        <v>0</v>
      </c>
      <c r="J27" s="12">
        <v>2</v>
      </c>
      <c r="K27" s="12">
        <f t="shared" si="0"/>
        <v>46</v>
      </c>
      <c r="L27" s="12" t="str">
        <f>IF(AND(B27&gt;=18, B27&lt;=30),
    IF(N27&gt;=3, "Young Professionals", "Other"),
    IF(AND(B27&gt;=60, N27&gt;=3),
        "Wealthy Seniors",
        IF(AND(B27&gt;=31, B27&lt;=59, N27&gt;=2),
            "Moderately Engaged Prof.",
            IF(AND(B27&gt;=60, N27&lt;2),
                "Low-Income Retirees", "Other"))))</f>
        <v>Other</v>
      </c>
      <c r="M27" t="str">
        <f t="shared" si="1"/>
        <v>25-34</v>
      </c>
      <c r="N27" s="26">
        <f>H27 + I27</f>
        <v>0</v>
      </c>
      <c r="O27" s="26">
        <f t="shared" si="2"/>
        <v>42046.358571428573</v>
      </c>
      <c r="Q27"/>
      <c r="R27"/>
      <c r="S27"/>
    </row>
    <row r="28" spans="1:19" ht="18">
      <c r="A28" s="12">
        <v>27</v>
      </c>
      <c r="B28" s="12">
        <v>39</v>
      </c>
      <c r="C28" s="12">
        <v>38269.279999999999</v>
      </c>
      <c r="D28" s="12" t="s">
        <v>7</v>
      </c>
      <c r="E28" s="12" t="s">
        <v>9</v>
      </c>
      <c r="F28" s="12" t="s">
        <v>13</v>
      </c>
      <c r="G28" s="12" t="s">
        <v>18</v>
      </c>
      <c r="H28" s="12">
        <v>0</v>
      </c>
      <c r="I28" s="12">
        <v>1</v>
      </c>
      <c r="J28" s="12">
        <v>0</v>
      </c>
      <c r="K28" s="12">
        <f t="shared" si="0"/>
        <v>46</v>
      </c>
      <c r="L28" s="12" t="str">
        <f>IF(AND(B28&gt;=18, B28&lt;=30),
    IF(N28&gt;=3, "Young Professionals", "Other"),
    IF(AND(B28&gt;=60, N28&gt;=3),
        "Wealthy Seniors",
        IF(AND(B28&gt;=31, B28&lt;=59, N28&gt;=2),
            "Moderately Engaged Prof.",
            IF(AND(B28&gt;=60, N28&lt;2),
                "Low-Income Retirees", "Other"))))</f>
        <v>Other</v>
      </c>
      <c r="M28" t="str">
        <f t="shared" si="1"/>
        <v>35-44</v>
      </c>
      <c r="N28" s="26">
        <f>H28 + I28</f>
        <v>1</v>
      </c>
      <c r="O28" s="26">
        <f t="shared" si="2"/>
        <v>42046.358571428573</v>
      </c>
      <c r="Q28"/>
      <c r="R28"/>
      <c r="S28"/>
    </row>
    <row r="29" spans="1:19" ht="18">
      <c r="A29" s="12">
        <v>28</v>
      </c>
      <c r="B29" s="12">
        <v>61</v>
      </c>
      <c r="C29" s="12">
        <v>56359.15</v>
      </c>
      <c r="D29" s="12" t="s">
        <v>7</v>
      </c>
      <c r="E29" s="12" t="s">
        <v>11</v>
      </c>
      <c r="F29" s="12" t="s">
        <v>14</v>
      </c>
      <c r="G29" s="12" t="s">
        <v>17</v>
      </c>
      <c r="H29" s="12">
        <v>2</v>
      </c>
      <c r="I29" s="12">
        <v>0</v>
      </c>
      <c r="J29" s="12">
        <v>3</v>
      </c>
      <c r="K29" s="12">
        <f t="shared" si="0"/>
        <v>46</v>
      </c>
      <c r="L29" s="12" t="str">
        <f>IF(AND(B29&gt;=18, B29&lt;=30),
    IF(N29&gt;=3, "Young Professionals", "Other"),
    IF(AND(B29&gt;=60, N29&gt;=3),
        "Wealthy Seniors",
        IF(AND(B29&gt;=31, B29&lt;=59, N29&gt;=2),
            "Moderately Engaged Prof.",
            IF(AND(B29&gt;=60, N29&lt;2),
                "Low-Income Retirees", "Other"))))</f>
        <v>Other</v>
      </c>
      <c r="M29" t="str">
        <f t="shared" si="1"/>
        <v>55+</v>
      </c>
      <c r="N29" s="26">
        <f>H29 + I29</f>
        <v>2</v>
      </c>
      <c r="O29" s="26">
        <f t="shared" si="2"/>
        <v>42046.358571428573</v>
      </c>
      <c r="Q29"/>
      <c r="R29"/>
      <c r="S29"/>
    </row>
    <row r="30" spans="1:19" ht="18">
      <c r="A30" s="12">
        <v>29</v>
      </c>
      <c r="B30" s="12">
        <v>42</v>
      </c>
      <c r="C30" s="12">
        <v>63090.58</v>
      </c>
      <c r="D30" s="12" t="s">
        <v>8</v>
      </c>
      <c r="E30" s="12" t="s">
        <v>9</v>
      </c>
      <c r="F30" s="12" t="s">
        <v>15</v>
      </c>
      <c r="G30" s="12" t="s">
        <v>17</v>
      </c>
      <c r="H30" s="12">
        <v>1</v>
      </c>
      <c r="I30" s="12">
        <v>0</v>
      </c>
      <c r="J30" s="12">
        <v>2</v>
      </c>
      <c r="K30" s="12">
        <f t="shared" si="0"/>
        <v>46</v>
      </c>
      <c r="L30" s="12" t="str">
        <f>IF(AND(B30&gt;=18, B30&lt;=30),
    IF(N30&gt;=3, "Young Professionals", "Other"),
    IF(AND(B30&gt;=60, N30&gt;=3),
        "Wealthy Seniors",
        IF(AND(B30&gt;=31, B30&lt;=59, N30&gt;=2),
            "Moderately Engaged Prof.",
            IF(AND(B30&gt;=60, N30&lt;2),
                "Low-Income Retirees", "Other"))))</f>
        <v>Other</v>
      </c>
      <c r="M30" t="str">
        <f t="shared" si="1"/>
        <v>35-44</v>
      </c>
      <c r="N30" s="26">
        <f>H30 + I30</f>
        <v>1</v>
      </c>
      <c r="O30" s="26">
        <f t="shared" si="2"/>
        <v>42046.358571428573</v>
      </c>
      <c r="Q30"/>
      <c r="R30"/>
      <c r="S30"/>
    </row>
    <row r="31" spans="1:19" ht="18">
      <c r="A31" s="12">
        <v>30</v>
      </c>
      <c r="B31" s="12">
        <v>44</v>
      </c>
      <c r="C31" s="12">
        <v>84308.39</v>
      </c>
      <c r="D31" s="12" t="s">
        <v>7</v>
      </c>
      <c r="E31" s="12" t="s">
        <v>10</v>
      </c>
      <c r="F31" s="12" t="s">
        <v>15</v>
      </c>
      <c r="G31" s="12" t="s">
        <v>16</v>
      </c>
      <c r="H31" s="12">
        <v>1</v>
      </c>
      <c r="I31" s="12">
        <v>2</v>
      </c>
      <c r="J31" s="12">
        <v>1</v>
      </c>
      <c r="K31" s="12">
        <f t="shared" si="0"/>
        <v>46</v>
      </c>
      <c r="L31" s="12" t="str">
        <f>IF(AND(B31&gt;=18, B31&lt;=30),
    IF(N31&gt;=3, "Young Professionals", "Other"),
    IF(AND(B31&gt;=60, N31&gt;=3),
        "Wealthy Seniors",
        IF(AND(B31&gt;=31, B31&lt;=59, N31&gt;=2),
            "Moderately Engaged Prof.",
            IF(AND(B31&gt;=60, N31&lt;2),
                "Low-Income Retirees", "Other"))))</f>
        <v>Moderately Engaged Prof.</v>
      </c>
      <c r="M31" t="str">
        <f t="shared" si="1"/>
        <v>35-44</v>
      </c>
      <c r="N31" s="26">
        <f>H31 + I31</f>
        <v>3</v>
      </c>
      <c r="O31" s="26">
        <f t="shared" si="2"/>
        <v>53730.51263157896</v>
      </c>
      <c r="Q31"/>
      <c r="R31"/>
      <c r="S31"/>
    </row>
    <row r="32" spans="1:19" ht="18">
      <c r="A32" s="12">
        <v>31</v>
      </c>
      <c r="B32" s="12">
        <v>59</v>
      </c>
      <c r="C32" s="12">
        <v>74343.81</v>
      </c>
      <c r="D32" s="12" t="s">
        <v>7</v>
      </c>
      <c r="E32" s="12" t="s">
        <v>11</v>
      </c>
      <c r="F32" s="12" t="s">
        <v>15</v>
      </c>
      <c r="G32" s="12" t="s">
        <v>18</v>
      </c>
      <c r="H32" s="12">
        <v>1</v>
      </c>
      <c r="I32" s="12">
        <v>1</v>
      </c>
      <c r="J32" s="12">
        <v>3</v>
      </c>
      <c r="K32" s="12">
        <f t="shared" si="0"/>
        <v>46</v>
      </c>
      <c r="L32" s="12" t="str">
        <f>IF(AND(B32&gt;=18, B32&lt;=30),
    IF(N32&gt;=3, "Young Professionals", "Other"),
    IF(AND(B32&gt;=60, N32&gt;=3),
        "Wealthy Seniors",
        IF(AND(B32&gt;=31, B32&lt;=59, N32&gt;=2),
            "Moderately Engaged Prof.",
            IF(AND(B32&gt;=60, N32&lt;2),
                "Low-Income Retirees", "Other"))))</f>
        <v>Moderately Engaged Prof.</v>
      </c>
      <c r="M32" t="str">
        <f t="shared" si="1"/>
        <v>55+</v>
      </c>
      <c r="N32" s="26">
        <f>H32 + I32</f>
        <v>2</v>
      </c>
      <c r="O32" s="26">
        <f t="shared" si="2"/>
        <v>53730.51263157896</v>
      </c>
      <c r="Q32"/>
      <c r="R32"/>
      <c r="S32"/>
    </row>
    <row r="33" spans="1:19" ht="18">
      <c r="A33" s="12">
        <v>32</v>
      </c>
      <c r="B33" s="12">
        <v>45</v>
      </c>
      <c r="C33" s="12">
        <v>62356</v>
      </c>
      <c r="D33" s="12" t="s">
        <v>8</v>
      </c>
      <c r="E33" s="12" t="s">
        <v>11</v>
      </c>
      <c r="F33" s="12" t="s">
        <v>13</v>
      </c>
      <c r="G33" s="12" t="s">
        <v>16</v>
      </c>
      <c r="H33" s="12">
        <v>0</v>
      </c>
      <c r="I33" s="12">
        <v>2</v>
      </c>
      <c r="J33" s="12">
        <v>0</v>
      </c>
      <c r="K33" s="12">
        <f t="shared" si="0"/>
        <v>46</v>
      </c>
      <c r="L33" s="12" t="str">
        <f>IF(AND(B33&gt;=18, B33&lt;=30),
    IF(N33&gt;=3, "Young Professionals", "Other"),
    IF(AND(B33&gt;=60, N33&gt;=3),
        "Wealthy Seniors",
        IF(AND(B33&gt;=31, B33&lt;=59, N33&gt;=2),
            "Moderately Engaged Prof.",
            IF(AND(B33&gt;=60, N33&lt;2),
                "Low-Income Retirees", "Other"))))</f>
        <v>Moderately Engaged Prof.</v>
      </c>
      <c r="M33" t="str">
        <f t="shared" si="1"/>
        <v>45-54</v>
      </c>
      <c r="N33" s="26">
        <f>H33 + I33</f>
        <v>2</v>
      </c>
      <c r="O33" s="26">
        <f t="shared" si="2"/>
        <v>53730.51263157896</v>
      </c>
      <c r="Q33"/>
      <c r="R33"/>
      <c r="S33"/>
    </row>
    <row r="34" spans="1:19" ht="18">
      <c r="A34" s="12">
        <v>33</v>
      </c>
      <c r="B34" s="12">
        <v>33</v>
      </c>
      <c r="C34" s="12">
        <v>54395.89</v>
      </c>
      <c r="D34" s="12" t="s">
        <v>8</v>
      </c>
      <c r="E34" s="12" t="s">
        <v>9</v>
      </c>
      <c r="F34" s="12" t="s">
        <v>14</v>
      </c>
      <c r="G34" s="12" t="s">
        <v>18</v>
      </c>
      <c r="H34" s="12">
        <v>2</v>
      </c>
      <c r="I34" s="12">
        <v>1</v>
      </c>
      <c r="J34" s="12">
        <v>1</v>
      </c>
      <c r="K34" s="12">
        <f t="shared" si="0"/>
        <v>46</v>
      </c>
      <c r="L34" s="12" t="str">
        <f>IF(AND(B34&gt;=18, B34&lt;=30),
    IF(N34&gt;=3, "Young Professionals", "Other"),
    IF(AND(B34&gt;=60, N34&gt;=3),
        "Wealthy Seniors",
        IF(AND(B34&gt;=31, B34&lt;=59, N34&gt;=2),
            "Moderately Engaged Prof.",
            IF(AND(B34&gt;=60, N34&lt;2),
                "Low-Income Retirees", "Other"))))</f>
        <v>Moderately Engaged Prof.</v>
      </c>
      <c r="M34" t="str">
        <f t="shared" si="1"/>
        <v>25-34</v>
      </c>
      <c r="N34" s="26">
        <f>H34 + I34</f>
        <v>3</v>
      </c>
      <c r="O34" s="26">
        <f t="shared" si="2"/>
        <v>53730.51263157896</v>
      </c>
      <c r="Q34"/>
      <c r="R34"/>
      <c r="S34"/>
    </row>
    <row r="35" spans="1:19" ht="18">
      <c r="A35" s="12">
        <v>34</v>
      </c>
      <c r="B35" s="12">
        <v>32</v>
      </c>
      <c r="C35" s="12">
        <v>63449.46</v>
      </c>
      <c r="D35" s="12" t="s">
        <v>7</v>
      </c>
      <c r="E35" s="12" t="s">
        <v>10</v>
      </c>
      <c r="F35" s="12" t="s">
        <v>13</v>
      </c>
      <c r="G35" s="12" t="s">
        <v>18</v>
      </c>
      <c r="H35" s="12">
        <v>0</v>
      </c>
      <c r="I35" s="12">
        <v>1</v>
      </c>
      <c r="J35" s="12">
        <v>0</v>
      </c>
      <c r="K35" s="12">
        <f t="shared" si="0"/>
        <v>46</v>
      </c>
      <c r="L35" s="12" t="str">
        <f>IF(AND(B35&gt;=18, B35&lt;=30),
    IF(N35&gt;=3, "Young Professionals", "Other"),
    IF(AND(B35&gt;=60, N35&gt;=3),
        "Wealthy Seniors",
        IF(AND(B35&gt;=31, B35&lt;=59, N35&gt;=2),
            "Moderately Engaged Prof.",
            IF(AND(B35&gt;=60, N35&lt;2),
                "Low-Income Retirees", "Other"))))</f>
        <v>Other</v>
      </c>
      <c r="M35" t="str">
        <f t="shared" si="1"/>
        <v>25-34</v>
      </c>
      <c r="N35" s="26">
        <f>H35 + I35</f>
        <v>1</v>
      </c>
      <c r="O35" s="26">
        <f t="shared" si="2"/>
        <v>42046.358571428573</v>
      </c>
      <c r="Q35"/>
      <c r="R35"/>
      <c r="S35"/>
    </row>
    <row r="36" spans="1:19" ht="18">
      <c r="A36" s="12">
        <v>35</v>
      </c>
      <c r="B36" s="12">
        <v>64</v>
      </c>
      <c r="C36" s="12">
        <v>40845.17</v>
      </c>
      <c r="D36" s="12" t="s">
        <v>7</v>
      </c>
      <c r="E36" s="12" t="s">
        <v>11</v>
      </c>
      <c r="F36" s="12" t="s">
        <v>13</v>
      </c>
      <c r="G36" s="12" t="s">
        <v>18</v>
      </c>
      <c r="H36" s="12">
        <v>0</v>
      </c>
      <c r="I36" s="12">
        <v>1</v>
      </c>
      <c r="J36" s="12">
        <v>0</v>
      </c>
      <c r="K36" s="12">
        <f t="shared" si="0"/>
        <v>46</v>
      </c>
      <c r="L36" s="12" t="str">
        <f>IF(AND(B36&gt;=18, B36&lt;=30),
    IF(N36&gt;=3, "Young Professionals", "Other"),
    IF(AND(B36&gt;=60, N36&gt;=3),
        "Wealthy Seniors",
        IF(AND(B36&gt;=31, B36&lt;=59, N36&gt;=2),
            "Moderately Engaged Prof.",
            IF(AND(B36&gt;=60, N36&lt;2),
                "Low-Income Retirees", "Other"))))</f>
        <v>Low-Income Retirees</v>
      </c>
      <c r="M36" t="str">
        <f t="shared" si="1"/>
        <v>55+</v>
      </c>
      <c r="N36" s="26">
        <f>H36 + I36</f>
        <v>1</v>
      </c>
      <c r="O36" s="26" t="s">
        <v>75</v>
      </c>
    </row>
    <row r="37" spans="1:19" ht="18">
      <c r="A37" s="12">
        <v>36</v>
      </c>
      <c r="B37" s="12">
        <v>61</v>
      </c>
      <c r="C37" s="12">
        <v>45257.51</v>
      </c>
      <c r="D37" s="12" t="s">
        <v>7</v>
      </c>
      <c r="E37" s="12" t="s">
        <v>9</v>
      </c>
      <c r="F37" s="12" t="s">
        <v>15</v>
      </c>
      <c r="G37" s="12" t="s">
        <v>18</v>
      </c>
      <c r="H37" s="12">
        <v>1</v>
      </c>
      <c r="I37" s="12">
        <v>1</v>
      </c>
      <c r="J37" s="12">
        <v>3</v>
      </c>
      <c r="K37" s="12">
        <f t="shared" si="0"/>
        <v>46</v>
      </c>
      <c r="L37" s="12" t="str">
        <f>IF(AND(B37&gt;=18, B37&lt;=30),
    IF(N37&gt;=3, "Young Professionals", "Other"),
    IF(AND(B37&gt;=60, N37&gt;=3),
        "Wealthy Seniors",
        IF(AND(B37&gt;=31, B37&lt;=59, N37&gt;=2),
            "Moderately Engaged Prof.",
            IF(AND(B37&gt;=60, N37&lt;2),
                "Low-Income Retirees", "Other"))))</f>
        <v>Other</v>
      </c>
      <c r="M37" t="str">
        <f t="shared" si="1"/>
        <v>55+</v>
      </c>
      <c r="N37" s="26">
        <f>H37 + I37</f>
        <v>2</v>
      </c>
      <c r="O37" s="26">
        <f t="shared" si="2"/>
        <v>42046.358571428573</v>
      </c>
    </row>
    <row r="38" spans="1:19" ht="18">
      <c r="A38" s="12">
        <v>37</v>
      </c>
      <c r="B38" s="12">
        <v>20</v>
      </c>
      <c r="C38" s="12">
        <v>27763.64</v>
      </c>
      <c r="D38" s="12" t="s">
        <v>7</v>
      </c>
      <c r="E38" s="12" t="s">
        <v>10</v>
      </c>
      <c r="F38" s="12" t="s">
        <v>13</v>
      </c>
      <c r="G38" s="12" t="s">
        <v>18</v>
      </c>
      <c r="H38" s="12">
        <v>0</v>
      </c>
      <c r="I38" s="12">
        <v>1</v>
      </c>
      <c r="J38" s="12">
        <v>0</v>
      </c>
      <c r="K38" s="12">
        <f t="shared" si="0"/>
        <v>46</v>
      </c>
      <c r="L38" s="12" t="str">
        <f>IF(AND(B38&gt;=18, B38&lt;=30),
    IF(N38&gt;=3, "Young Professionals", "Other"),
    IF(AND(B38&gt;=60, N38&gt;=3),
        "Wealthy Seniors",
        IF(AND(B38&gt;=31, B38&lt;=59, N38&gt;=2),
            "Moderately Engaged Prof.",
            IF(AND(B38&gt;=60, N38&lt;2),
                "Low-Income Retirees", "Other"))))</f>
        <v>Other</v>
      </c>
      <c r="M38" t="str">
        <f t="shared" si="1"/>
        <v>18-24</v>
      </c>
      <c r="N38" s="26">
        <f>H38 + I38</f>
        <v>1</v>
      </c>
      <c r="O38" s="26">
        <f t="shared" si="2"/>
        <v>42046.358571428573</v>
      </c>
    </row>
    <row r="39" spans="1:19" ht="18">
      <c r="A39" s="12">
        <v>38</v>
      </c>
      <c r="B39" s="12">
        <v>54</v>
      </c>
      <c r="C39" s="12">
        <v>46567.29</v>
      </c>
      <c r="D39" s="12" t="s">
        <v>7</v>
      </c>
      <c r="E39" s="12" t="s">
        <v>9</v>
      </c>
      <c r="F39" s="12" t="s">
        <v>15</v>
      </c>
      <c r="G39" s="12" t="s">
        <v>17</v>
      </c>
      <c r="H39" s="12">
        <v>1</v>
      </c>
      <c r="I39" s="12">
        <v>0</v>
      </c>
      <c r="J39" s="12">
        <v>2</v>
      </c>
      <c r="K39" s="12">
        <f t="shared" si="0"/>
        <v>46</v>
      </c>
      <c r="L39" s="12" t="str">
        <f>IF(AND(B39&gt;=18, B39&lt;=30),
    IF(N39&gt;=3, "Young Professionals", "Other"),
    IF(AND(B39&gt;=60, N39&gt;=3),
        "Wealthy Seniors",
        IF(AND(B39&gt;=31, B39&lt;=59, N39&gt;=2),
            "Moderately Engaged Prof.",
            IF(AND(B39&gt;=60, N39&lt;2),
                "Low-Income Retirees", "Other"))))</f>
        <v>Other</v>
      </c>
      <c r="M39" t="str">
        <f t="shared" si="1"/>
        <v>45-54</v>
      </c>
      <c r="N39" s="26">
        <f>H39 + I39</f>
        <v>1</v>
      </c>
      <c r="O39" s="26">
        <f t="shared" si="2"/>
        <v>42046.358571428573</v>
      </c>
    </row>
    <row r="40" spans="1:19" ht="18">
      <c r="A40" s="12">
        <v>39</v>
      </c>
      <c r="B40" s="12">
        <v>24</v>
      </c>
      <c r="C40" s="12">
        <v>64439.62</v>
      </c>
      <c r="D40" s="12" t="s">
        <v>7</v>
      </c>
      <c r="E40" s="12" t="s">
        <v>12</v>
      </c>
      <c r="F40" s="12" t="s">
        <v>14</v>
      </c>
      <c r="G40" s="12" t="s">
        <v>16</v>
      </c>
      <c r="H40" s="12">
        <v>2</v>
      </c>
      <c r="I40" s="12">
        <v>2</v>
      </c>
      <c r="J40" s="12">
        <v>1</v>
      </c>
      <c r="K40" s="12">
        <f t="shared" si="0"/>
        <v>46</v>
      </c>
      <c r="L40" s="12" t="str">
        <f>IF(AND(B40&gt;=18, B40&lt;=30),
    IF(N40&gt;=3, "Young Professionals", "Other"),
    IF(AND(B40&gt;=60, N40&gt;=3),
        "Wealthy Seniors",
        IF(AND(B40&gt;=31, B40&lt;=59, N40&gt;=2),
            "Moderately Engaged Prof.",
            IF(AND(B40&gt;=60, N40&lt;2),
                "Low-Income Retirees", "Other"))))</f>
        <v>Young Professionals</v>
      </c>
      <c r="M40" t="str">
        <f t="shared" si="1"/>
        <v>18-24</v>
      </c>
      <c r="N40" s="26">
        <f>H40 + I40</f>
        <v>4</v>
      </c>
      <c r="O40" s="26">
        <f t="shared" si="2"/>
        <v>50173.108</v>
      </c>
    </row>
    <row r="41" spans="1:19" ht="18">
      <c r="A41" s="12">
        <v>40</v>
      </c>
      <c r="B41" s="12">
        <v>38</v>
      </c>
      <c r="C41" s="12">
        <v>46854.61</v>
      </c>
      <c r="D41" s="12" t="s">
        <v>8</v>
      </c>
      <c r="E41" s="12" t="s">
        <v>11</v>
      </c>
      <c r="F41" s="12" t="s">
        <v>15</v>
      </c>
      <c r="G41" s="12" t="s">
        <v>17</v>
      </c>
      <c r="H41" s="12">
        <v>1</v>
      </c>
      <c r="I41" s="12">
        <v>0</v>
      </c>
      <c r="J41" s="12">
        <v>2</v>
      </c>
      <c r="K41" s="12">
        <f t="shared" si="0"/>
        <v>46</v>
      </c>
      <c r="L41" s="12" t="str">
        <f>IF(AND(B41&gt;=18, B41&lt;=30),
    IF(N41&gt;=3, "Young Professionals", "Other"),
    IF(AND(B41&gt;=60, N41&gt;=3),
        "Wealthy Seniors",
        IF(AND(B41&gt;=31, B41&lt;=59, N41&gt;=2),
            "Moderately Engaged Prof.",
            IF(AND(B41&gt;=60, N41&lt;2),
                "Low-Income Retirees", "Other"))))</f>
        <v>Other</v>
      </c>
      <c r="M41" t="str">
        <f t="shared" si="1"/>
        <v>35-44</v>
      </c>
      <c r="N41" s="26">
        <f>H41 + I41</f>
        <v>1</v>
      </c>
      <c r="O41" s="26">
        <f t="shared" si="2"/>
        <v>42046.358571428573</v>
      </c>
    </row>
    <row r="42" spans="1:19" ht="18">
      <c r="A42" s="12">
        <v>41</v>
      </c>
      <c r="B42" s="12">
        <v>26</v>
      </c>
      <c r="C42" s="12">
        <v>38389.360000000001</v>
      </c>
      <c r="D42" s="12" t="s">
        <v>7</v>
      </c>
      <c r="E42" s="12" t="s">
        <v>12</v>
      </c>
      <c r="F42" s="12" t="s">
        <v>14</v>
      </c>
      <c r="G42" s="12" t="s">
        <v>18</v>
      </c>
      <c r="H42" s="12">
        <v>2</v>
      </c>
      <c r="I42" s="12">
        <v>1</v>
      </c>
      <c r="J42" s="12">
        <v>1</v>
      </c>
      <c r="K42" s="12">
        <f t="shared" si="0"/>
        <v>46</v>
      </c>
      <c r="L42" s="12" t="str">
        <f>IF(AND(B42&gt;=18, B42&lt;=30),
    IF(N42&gt;=3, "Young Professionals", "Other"),
    IF(AND(B42&gt;=60, N42&gt;=3),
        "Wealthy Seniors",
        IF(AND(B42&gt;=31, B42&lt;=59, N42&gt;=2),
            "Moderately Engaged Prof.",
            IF(AND(B42&gt;=60, N42&lt;2),
                "Low-Income Retirees", "Other"))))</f>
        <v>Young Professionals</v>
      </c>
      <c r="M42" t="str">
        <f t="shared" si="1"/>
        <v>25-34</v>
      </c>
      <c r="N42" s="26">
        <f>H42 + I42</f>
        <v>3</v>
      </c>
      <c r="O42" s="26">
        <f t="shared" si="2"/>
        <v>50173.108</v>
      </c>
    </row>
    <row r="43" spans="1:19" ht="18">
      <c r="A43" s="12">
        <v>42</v>
      </c>
      <c r="B43" s="12">
        <v>56</v>
      </c>
      <c r="C43" s="12">
        <v>44603.33</v>
      </c>
      <c r="D43" s="12" t="s">
        <v>7</v>
      </c>
      <c r="E43" s="12" t="s">
        <v>10</v>
      </c>
      <c r="F43" s="12" t="s">
        <v>15</v>
      </c>
      <c r="G43" s="12" t="s">
        <v>16</v>
      </c>
      <c r="H43" s="12">
        <v>1</v>
      </c>
      <c r="I43" s="12">
        <v>2</v>
      </c>
      <c r="J43" s="12">
        <v>3</v>
      </c>
      <c r="K43" s="12">
        <f t="shared" si="0"/>
        <v>46</v>
      </c>
      <c r="L43" s="12" t="str">
        <f>IF(AND(B43&gt;=18, B43&lt;=30),
    IF(N43&gt;=3, "Young Professionals", "Other"),
    IF(AND(B43&gt;=60, N43&gt;=3),
        "Wealthy Seniors",
        IF(AND(B43&gt;=31, B43&lt;=59, N43&gt;=2),
            "Moderately Engaged Prof.",
            IF(AND(B43&gt;=60, N43&lt;2),
                "Low-Income Retirees", "Other"))))</f>
        <v>Moderately Engaged Prof.</v>
      </c>
      <c r="M43" t="str">
        <f t="shared" si="1"/>
        <v>55+</v>
      </c>
      <c r="N43" s="26">
        <f>H43 + I43</f>
        <v>3</v>
      </c>
      <c r="O43" s="26">
        <f t="shared" si="2"/>
        <v>53730.51263157896</v>
      </c>
    </row>
    <row r="44" spans="1:19" ht="18">
      <c r="A44" s="12">
        <v>43</v>
      </c>
      <c r="B44" s="12">
        <v>35</v>
      </c>
      <c r="C44" s="12">
        <v>60861.25</v>
      </c>
      <c r="D44" s="12" t="s">
        <v>8</v>
      </c>
      <c r="E44" s="12" t="s">
        <v>12</v>
      </c>
      <c r="F44" s="12" t="s">
        <v>13</v>
      </c>
      <c r="G44" s="12" t="s">
        <v>18</v>
      </c>
      <c r="H44" s="12">
        <v>0</v>
      </c>
      <c r="I44" s="12">
        <v>1</v>
      </c>
      <c r="J44" s="12">
        <v>0</v>
      </c>
      <c r="K44" s="12">
        <f t="shared" si="0"/>
        <v>46</v>
      </c>
      <c r="L44" s="12" t="str">
        <f>IF(AND(B44&gt;=18, B44&lt;=30),
    IF(N44&gt;=3, "Young Professionals", "Other"),
    IF(AND(B44&gt;=60, N44&gt;=3),
        "Wealthy Seniors",
        IF(AND(B44&gt;=31, B44&lt;=59, N44&gt;=2),
            "Moderately Engaged Prof.",
            IF(AND(B44&gt;=60, N44&lt;2),
                "Low-Income Retirees", "Other"))))</f>
        <v>Other</v>
      </c>
      <c r="M44" t="str">
        <f t="shared" si="1"/>
        <v>35-44</v>
      </c>
      <c r="N44" s="26">
        <f>H44 + I44</f>
        <v>1</v>
      </c>
      <c r="O44" s="26">
        <f t="shared" si="2"/>
        <v>42046.358571428573</v>
      </c>
    </row>
    <row r="45" spans="1:19" ht="18">
      <c r="A45" s="12">
        <v>44</v>
      </c>
      <c r="B45" s="12">
        <v>21</v>
      </c>
      <c r="C45" s="12">
        <v>46163.53</v>
      </c>
      <c r="D45" s="12" t="s">
        <v>8</v>
      </c>
      <c r="E45" s="12" t="s">
        <v>12</v>
      </c>
      <c r="F45" s="12" t="s">
        <v>13</v>
      </c>
      <c r="G45" s="12" t="s">
        <v>16</v>
      </c>
      <c r="H45" s="12">
        <v>0</v>
      </c>
      <c r="I45" s="12">
        <v>2</v>
      </c>
      <c r="J45" s="12">
        <v>0</v>
      </c>
      <c r="K45" s="12">
        <f t="shared" si="0"/>
        <v>46</v>
      </c>
      <c r="L45" s="12" t="str">
        <f>IF(AND(B45&gt;=18, B45&lt;=30),
    IF(N45&gt;=3, "Young Professionals", "Other"),
    IF(AND(B45&gt;=60, N45&gt;=3),
        "Wealthy Seniors",
        IF(AND(B45&gt;=31, B45&lt;=59, N45&gt;=2),
            "Moderately Engaged Prof.",
            IF(AND(B45&gt;=60, N45&lt;2),
                "Low-Income Retirees", "Other"))))</f>
        <v>Other</v>
      </c>
      <c r="M45" t="str">
        <f t="shared" si="1"/>
        <v>18-24</v>
      </c>
      <c r="N45" s="26">
        <f>H45 + I45</f>
        <v>2</v>
      </c>
      <c r="O45" s="26">
        <f t="shared" si="2"/>
        <v>42046.358571428573</v>
      </c>
    </row>
    <row r="46" spans="1:19" ht="18">
      <c r="A46" s="12">
        <v>45</v>
      </c>
      <c r="B46" s="12">
        <v>42</v>
      </c>
      <c r="C46" s="12">
        <v>62748.82</v>
      </c>
      <c r="D46" s="12" t="s">
        <v>8</v>
      </c>
      <c r="E46" s="12" t="s">
        <v>10</v>
      </c>
      <c r="F46" s="12" t="s">
        <v>14</v>
      </c>
      <c r="G46" s="12" t="s">
        <v>17</v>
      </c>
      <c r="H46" s="12">
        <v>2</v>
      </c>
      <c r="I46" s="12">
        <v>0</v>
      </c>
      <c r="J46" s="12">
        <v>2</v>
      </c>
      <c r="K46" s="12">
        <f t="shared" si="0"/>
        <v>46</v>
      </c>
      <c r="L46" s="12" t="str">
        <f>IF(AND(B46&gt;=18, B46&lt;=30),
    IF(N46&gt;=3, "Young Professionals", "Other"),
    IF(AND(B46&gt;=60, N46&gt;=3),
        "Wealthy Seniors",
        IF(AND(B46&gt;=31, B46&lt;=59, N46&gt;=2),
            "Moderately Engaged Prof.",
            IF(AND(B46&gt;=60, N46&lt;2),
                "Low-Income Retirees", "Other"))))</f>
        <v>Moderately Engaged Prof.</v>
      </c>
      <c r="M46" t="str">
        <f t="shared" si="1"/>
        <v>35-44</v>
      </c>
      <c r="N46" s="26">
        <f>H46 + I46</f>
        <v>2</v>
      </c>
      <c r="O46" s="26">
        <f t="shared" si="2"/>
        <v>53730.51263157896</v>
      </c>
      <c r="P46" s="12">
        <v>50231.994480000001</v>
      </c>
    </row>
    <row r="47" spans="1:19" ht="18">
      <c r="A47" s="12">
        <v>46</v>
      </c>
      <c r="B47" s="12">
        <v>31</v>
      </c>
      <c r="C47" s="12">
        <v>30330.14</v>
      </c>
      <c r="D47" s="12" t="s">
        <v>8</v>
      </c>
      <c r="E47" s="12" t="s">
        <v>9</v>
      </c>
      <c r="F47" s="12" t="s">
        <v>14</v>
      </c>
      <c r="G47" s="12" t="s">
        <v>16</v>
      </c>
      <c r="H47" s="12">
        <v>2</v>
      </c>
      <c r="I47" s="12">
        <v>2</v>
      </c>
      <c r="J47" s="12">
        <v>1</v>
      </c>
      <c r="K47" s="12">
        <f t="shared" si="0"/>
        <v>46</v>
      </c>
      <c r="L47" s="12" t="str">
        <f>IF(AND(B47&gt;=18, B47&lt;=30),
    IF(N47&gt;=3, "Young Professionals", "Other"),
    IF(AND(B47&gt;=60, N47&gt;=3),
        "Wealthy Seniors",
        IF(AND(B47&gt;=31, B47&lt;=59, N47&gt;=2),
            "Moderately Engaged Prof.",
            IF(AND(B47&gt;=60, N47&lt;2),
                "Low-Income Retirees", "Other"))))</f>
        <v>Moderately Engaged Prof.</v>
      </c>
      <c r="M47" t="str">
        <f t="shared" si="1"/>
        <v>25-34</v>
      </c>
      <c r="N47" s="26">
        <f>H47 + I47</f>
        <v>4</v>
      </c>
      <c r="O47" s="26">
        <f t="shared" si="2"/>
        <v>53730.51263157896</v>
      </c>
    </row>
    <row r="48" spans="1:19" ht="18">
      <c r="A48" s="12">
        <v>47</v>
      </c>
      <c r="B48" s="12">
        <v>26</v>
      </c>
      <c r="C48" s="12">
        <v>36945.43</v>
      </c>
      <c r="D48" s="12" t="s">
        <v>7</v>
      </c>
      <c r="E48" s="12" t="s">
        <v>12</v>
      </c>
      <c r="F48" s="12" t="s">
        <v>14</v>
      </c>
      <c r="G48" s="12" t="s">
        <v>16</v>
      </c>
      <c r="H48" s="12">
        <v>2</v>
      </c>
      <c r="I48" s="12">
        <v>2</v>
      </c>
      <c r="J48" s="12">
        <v>1</v>
      </c>
      <c r="K48" s="12">
        <f t="shared" si="0"/>
        <v>46</v>
      </c>
      <c r="L48" s="12" t="str">
        <f>IF(AND(B48&gt;=18, B48&lt;=30),
    IF(N48&gt;=3, "Young Professionals", "Other"),
    IF(AND(B48&gt;=60, N48&gt;=3),
        "Wealthy Seniors",
        IF(AND(B48&gt;=31, B48&lt;=59, N48&gt;=2),
            "Moderately Engaged Prof.",
            IF(AND(B48&gt;=60, N48&lt;2),
                "Low-Income Retirees", "Other"))))</f>
        <v>Young Professionals</v>
      </c>
      <c r="M48" t="str">
        <f t="shared" si="1"/>
        <v>25-34</v>
      </c>
      <c r="N48" s="26">
        <f>H48 + I48</f>
        <v>4</v>
      </c>
      <c r="O48" s="26">
        <f t="shared" si="2"/>
        <v>50173.108</v>
      </c>
    </row>
    <row r="49" spans="1:15" ht="18">
      <c r="A49" s="12">
        <v>48</v>
      </c>
      <c r="B49" s="12">
        <v>43</v>
      </c>
      <c r="C49" s="12">
        <v>42400.35</v>
      </c>
      <c r="D49" s="12" t="s">
        <v>7</v>
      </c>
      <c r="E49" s="12" t="s">
        <v>9</v>
      </c>
      <c r="F49" s="12" t="s">
        <v>15</v>
      </c>
      <c r="G49" s="12" t="s">
        <v>16</v>
      </c>
      <c r="H49" s="12">
        <v>1</v>
      </c>
      <c r="I49" s="12">
        <v>2</v>
      </c>
      <c r="J49" s="12">
        <v>3</v>
      </c>
      <c r="K49" s="12">
        <f t="shared" si="0"/>
        <v>46</v>
      </c>
      <c r="L49" s="12" t="str">
        <f>IF(AND(B49&gt;=18, B49&lt;=30),
    IF(N49&gt;=3, "Young Professionals", "Other"),
    IF(AND(B49&gt;=60, N49&gt;=3),
        "Wealthy Seniors",
        IF(AND(B49&gt;=31, B49&lt;=59, N49&gt;=2),
            "Moderately Engaged Prof.",
            IF(AND(B49&gt;=60, N49&lt;2),
                "Low-Income Retirees", "Other"))))</f>
        <v>Moderately Engaged Prof.</v>
      </c>
      <c r="M49" t="str">
        <f t="shared" si="1"/>
        <v>35-44</v>
      </c>
      <c r="N49" s="26">
        <f>H49 + I49</f>
        <v>3</v>
      </c>
      <c r="O49" s="26">
        <f t="shared" si="2"/>
        <v>53730.51263157896</v>
      </c>
    </row>
    <row r="50" spans="1:15" ht="18">
      <c r="A50" s="12">
        <v>49</v>
      </c>
      <c r="B50" s="12">
        <v>19</v>
      </c>
      <c r="C50" s="12">
        <v>30350.74</v>
      </c>
      <c r="D50" s="12" t="s">
        <v>7</v>
      </c>
      <c r="E50" s="12" t="s">
        <v>12</v>
      </c>
      <c r="F50" s="12" t="s">
        <v>15</v>
      </c>
      <c r="G50" s="12" t="s">
        <v>16</v>
      </c>
      <c r="H50" s="12">
        <v>1</v>
      </c>
      <c r="I50" s="12">
        <v>2</v>
      </c>
      <c r="J50" s="12">
        <v>1</v>
      </c>
      <c r="K50" s="12">
        <f t="shared" si="0"/>
        <v>46</v>
      </c>
      <c r="L50" s="12" t="str">
        <f>IF(AND(B50&gt;=18, B50&lt;=30),
    IF(N50&gt;=3, "Young Professionals", "Other"),
    IF(AND(B50&gt;=60, N50&gt;=3),
        "Wealthy Seniors",
        IF(AND(B50&gt;=31, B50&lt;=59, N50&gt;=2),
            "Moderately Engaged Prof.",
            IF(AND(B50&gt;=60, N50&lt;2),
                "Low-Income Retirees", "Other"))))</f>
        <v>Young Professionals</v>
      </c>
      <c r="M50" t="str">
        <f t="shared" si="1"/>
        <v>18-24</v>
      </c>
      <c r="N50" s="26">
        <f>H50 + I50</f>
        <v>3</v>
      </c>
      <c r="O50" s="26">
        <f t="shared" si="2"/>
        <v>50173.108</v>
      </c>
    </row>
    <row r="51" spans="1:15" ht="18">
      <c r="A51" s="12">
        <v>50</v>
      </c>
      <c r="B51" s="12">
        <v>37</v>
      </c>
      <c r="C51" s="12">
        <v>94154.95</v>
      </c>
      <c r="D51" s="12" t="s">
        <v>7</v>
      </c>
      <c r="E51" s="12" t="s">
        <v>9</v>
      </c>
      <c r="F51" s="12" t="s">
        <v>14</v>
      </c>
      <c r="G51" s="12" t="s">
        <v>16</v>
      </c>
      <c r="H51" s="12">
        <v>2</v>
      </c>
      <c r="I51" s="12">
        <v>2</v>
      </c>
      <c r="J51" s="12">
        <v>1</v>
      </c>
      <c r="K51" s="12">
        <f t="shared" si="0"/>
        <v>46</v>
      </c>
      <c r="L51" s="12" t="str">
        <f>IF(AND(B51&gt;=18, B51&lt;=30),
    IF(N51&gt;=3, "Young Professionals", "Other"),
    IF(AND(B51&gt;=60, N51&gt;=3),
        "Wealthy Seniors",
        IF(AND(B51&gt;=31, B51&lt;=59, N51&gt;=2),
            "Moderately Engaged Prof.",
            IF(AND(B51&gt;=60, N51&lt;2),
                "Low-Income Retirees", "Other"))))</f>
        <v>Moderately Engaged Prof.</v>
      </c>
      <c r="M51" t="str">
        <f t="shared" si="1"/>
        <v>35-44</v>
      </c>
      <c r="N51" s="26">
        <f>H51 + I51</f>
        <v>4</v>
      </c>
      <c r="O51" s="26">
        <f t="shared" si="2"/>
        <v>53730.51263157896</v>
      </c>
    </row>
    <row r="52" spans="1:15" ht="18">
      <c r="A52" s="12">
        <v>51</v>
      </c>
      <c r="B52" s="12">
        <v>45</v>
      </c>
      <c r="C52" s="12">
        <v>33556.01</v>
      </c>
      <c r="D52" s="12" t="s">
        <v>7</v>
      </c>
      <c r="E52" s="12" t="s">
        <v>10</v>
      </c>
      <c r="F52" s="12" t="s">
        <v>13</v>
      </c>
      <c r="G52" s="12" t="s">
        <v>18</v>
      </c>
      <c r="H52" s="12">
        <v>0</v>
      </c>
      <c r="I52" s="12">
        <v>1</v>
      </c>
      <c r="J52" s="12">
        <v>0</v>
      </c>
      <c r="K52" s="12">
        <f t="shared" si="0"/>
        <v>46</v>
      </c>
      <c r="L52" s="12" t="str">
        <f>IF(AND(B52&gt;=18, B52&lt;=30),
    IF(N52&gt;=3, "Young Professionals", "Other"),
    IF(AND(B52&gt;=60, N52&gt;=3),
        "Wealthy Seniors",
        IF(AND(B52&gt;=31, B52&lt;=59, N52&gt;=2),
            "Moderately Engaged Prof.",
            IF(AND(B52&gt;=60, N52&lt;2),
                "Low-Income Retirees", "Other"))))</f>
        <v>Other</v>
      </c>
      <c r="M52" t="str">
        <f t="shared" si="1"/>
        <v>45-54</v>
      </c>
      <c r="N52" s="26">
        <f>H52 + I52</f>
        <v>1</v>
      </c>
      <c r="O52" s="26">
        <f t="shared" si="2"/>
        <v>42046.358571428573</v>
      </c>
    </row>
    <row r="53" spans="1:15" ht="18">
      <c r="A53" s="12">
        <v>52</v>
      </c>
      <c r="B53" s="12">
        <v>64</v>
      </c>
      <c r="C53" s="12">
        <v>63723.26</v>
      </c>
      <c r="D53" s="12" t="s">
        <v>7</v>
      </c>
      <c r="E53" s="12" t="s">
        <v>12</v>
      </c>
      <c r="F53" s="12" t="s">
        <v>15</v>
      </c>
      <c r="G53" s="12" t="s">
        <v>16</v>
      </c>
      <c r="H53" s="12">
        <v>1</v>
      </c>
      <c r="I53" s="12">
        <v>2</v>
      </c>
      <c r="J53" s="12">
        <v>3</v>
      </c>
      <c r="K53" s="12">
        <f t="shared" si="0"/>
        <v>46</v>
      </c>
      <c r="L53" s="12" t="str">
        <f>IF(AND(B53&gt;=18, B53&lt;=30),
    IF(N53&gt;=3, "Young Professionals", "Other"),
    IF(AND(B53&gt;=60, N53&gt;=3),
        "Wealthy Seniors",
        IF(AND(B53&gt;=31, B53&lt;=59, N53&gt;=2),
            "Moderately Engaged Prof.",
            IF(AND(B53&gt;=60, N53&lt;2),
                "Low-Income Retirees", "Other"))))</f>
        <v>Wealthy Seniors</v>
      </c>
      <c r="M53" t="str">
        <f t="shared" si="1"/>
        <v>55+</v>
      </c>
      <c r="N53" s="26">
        <f>H53 + I53</f>
        <v>3</v>
      </c>
      <c r="O53" s="26">
        <f t="shared" si="2"/>
        <v>54385.223333333328</v>
      </c>
    </row>
    <row r="54" spans="1:15" ht="18">
      <c r="A54" s="12">
        <v>53</v>
      </c>
      <c r="B54" s="12">
        <v>24</v>
      </c>
      <c r="C54" s="12">
        <v>40009.089999999997</v>
      </c>
      <c r="D54" s="12" t="s">
        <v>8</v>
      </c>
      <c r="E54" s="12" t="s">
        <v>10</v>
      </c>
      <c r="F54" s="12" t="s">
        <v>15</v>
      </c>
      <c r="G54" s="12" t="s">
        <v>16</v>
      </c>
      <c r="H54" s="12">
        <v>1</v>
      </c>
      <c r="I54" s="12">
        <v>2</v>
      </c>
      <c r="J54" s="12">
        <v>1</v>
      </c>
      <c r="K54" s="12">
        <f t="shared" si="0"/>
        <v>46</v>
      </c>
      <c r="L54" s="12" t="str">
        <f>IF(AND(B54&gt;=18, B54&lt;=30),
    IF(N54&gt;=3, "Young Professionals", "Other"),
    IF(AND(B54&gt;=60, N54&gt;=3),
        "Wealthy Seniors",
        IF(AND(B54&gt;=31, B54&lt;=59, N54&gt;=2),
            "Moderately Engaged Prof.",
            IF(AND(B54&gt;=60, N54&lt;2),
                "Low-Income Retirees", "Other"))))</f>
        <v>Young Professionals</v>
      </c>
      <c r="M54" t="str">
        <f t="shared" si="1"/>
        <v>18-24</v>
      </c>
      <c r="N54" s="26">
        <f>H54 + I54</f>
        <v>3</v>
      </c>
      <c r="O54" s="26">
        <f t="shared" si="2"/>
        <v>50173.108</v>
      </c>
    </row>
    <row r="55" spans="1:15" ht="18">
      <c r="A55" s="12">
        <v>54</v>
      </c>
      <c r="B55" s="12">
        <v>61</v>
      </c>
      <c r="C55" s="12">
        <v>42293.19</v>
      </c>
      <c r="D55" s="12" t="s">
        <v>7</v>
      </c>
      <c r="E55" s="12" t="s">
        <v>12</v>
      </c>
      <c r="F55" s="12" t="s">
        <v>15</v>
      </c>
      <c r="G55" s="12" t="s">
        <v>17</v>
      </c>
      <c r="H55" s="12">
        <v>1</v>
      </c>
      <c r="I55" s="12">
        <v>0</v>
      </c>
      <c r="J55" s="12">
        <v>2</v>
      </c>
      <c r="K55" s="12">
        <f t="shared" si="0"/>
        <v>46</v>
      </c>
      <c r="L55" s="12" t="str">
        <f>IF(AND(B55&gt;=18, B55&lt;=30),
    IF(N55&gt;=3, "Young Professionals", "Other"),
    IF(AND(B55&gt;=60, N55&gt;=3),
        "Wealthy Seniors",
        IF(AND(B55&gt;=31, B55&lt;=59, N55&gt;=2),
            "Moderately Engaged Prof.",
            IF(AND(B55&gt;=60, N55&lt;2),
                "Low-Income Retirees", "Other"))))</f>
        <v>Low-Income Retirees</v>
      </c>
      <c r="M55" t="str">
        <f t="shared" si="1"/>
        <v>55+</v>
      </c>
      <c r="N55" s="26">
        <f>H55 + I55</f>
        <v>1</v>
      </c>
      <c r="O55" s="26" t="s">
        <v>75</v>
      </c>
    </row>
    <row r="56" spans="1:15" ht="18">
      <c r="A56" s="12">
        <v>55</v>
      </c>
      <c r="B56" s="12">
        <v>25</v>
      </c>
      <c r="C56" s="12">
        <v>54519.839999999997</v>
      </c>
      <c r="D56" s="12" t="s">
        <v>8</v>
      </c>
      <c r="E56" s="12" t="s">
        <v>10</v>
      </c>
      <c r="F56" s="12" t="s">
        <v>14</v>
      </c>
      <c r="G56" s="12" t="s">
        <v>16</v>
      </c>
      <c r="H56" s="12">
        <v>2</v>
      </c>
      <c r="I56" s="12">
        <v>2</v>
      </c>
      <c r="J56" s="12">
        <v>1</v>
      </c>
      <c r="K56" s="12">
        <f t="shared" si="0"/>
        <v>46</v>
      </c>
      <c r="L56" s="12" t="str">
        <f>IF(AND(B56&gt;=18, B56&lt;=30),
    IF(N56&gt;=3, "Young Professionals", "Other"),
    IF(AND(B56&gt;=60, N56&gt;=3),
        "Wealthy Seniors",
        IF(AND(B56&gt;=31, B56&lt;=59, N56&gt;=2),
            "Moderately Engaged Prof.",
            IF(AND(B56&gt;=60, N56&lt;2),
                "Low-Income Retirees", "Other"))))</f>
        <v>Young Professionals</v>
      </c>
      <c r="M56" t="str">
        <f t="shared" si="1"/>
        <v>25-34</v>
      </c>
      <c r="N56" s="26">
        <f>H56 + I56</f>
        <v>4</v>
      </c>
      <c r="O56" s="26">
        <f t="shared" si="2"/>
        <v>50173.108</v>
      </c>
    </row>
    <row r="57" spans="1:15" ht="18">
      <c r="A57" s="12">
        <v>56</v>
      </c>
      <c r="B57" s="12">
        <v>64</v>
      </c>
      <c r="C57" s="12">
        <v>28122.25</v>
      </c>
      <c r="D57" s="12" t="s">
        <v>8</v>
      </c>
      <c r="E57" s="12" t="s">
        <v>10</v>
      </c>
      <c r="F57" s="12" t="s">
        <v>14</v>
      </c>
      <c r="G57" s="12" t="s">
        <v>17</v>
      </c>
      <c r="H57" s="12">
        <v>2</v>
      </c>
      <c r="I57" s="12">
        <v>0</v>
      </c>
      <c r="J57" s="12">
        <v>3</v>
      </c>
      <c r="K57" s="12">
        <f t="shared" si="0"/>
        <v>46</v>
      </c>
      <c r="L57" s="12" t="str">
        <f>IF(AND(B57&gt;=18, B57&lt;=30),
    IF(N57&gt;=3, "Young Professionals", "Other"),
    IF(AND(B57&gt;=60, N57&gt;=3),
        "Wealthy Seniors",
        IF(AND(B57&gt;=31, B57&lt;=59, N57&gt;=2),
            "Moderately Engaged Prof.",
            IF(AND(B57&gt;=60, N57&lt;2),
                "Low-Income Retirees", "Other"))))</f>
        <v>Other</v>
      </c>
      <c r="M57" t="str">
        <f t="shared" si="1"/>
        <v>55+</v>
      </c>
      <c r="N57" s="26">
        <f>H57 + I57</f>
        <v>2</v>
      </c>
      <c r="O57" s="26">
        <f t="shared" si="2"/>
        <v>42046.358571428573</v>
      </c>
    </row>
    <row r="58" spans="1:15" ht="18">
      <c r="A58" s="12">
        <v>57</v>
      </c>
      <c r="B58" s="12">
        <v>52</v>
      </c>
      <c r="C58" s="12">
        <v>40058.93</v>
      </c>
      <c r="D58" s="12" t="s">
        <v>7</v>
      </c>
      <c r="E58" s="12" t="s">
        <v>12</v>
      </c>
      <c r="F58" s="12" t="s">
        <v>14</v>
      </c>
      <c r="G58" s="12" t="s">
        <v>18</v>
      </c>
      <c r="H58" s="12">
        <v>2</v>
      </c>
      <c r="I58" s="12">
        <v>1</v>
      </c>
      <c r="J58" s="12">
        <v>3</v>
      </c>
      <c r="K58" s="12">
        <f t="shared" si="0"/>
        <v>46</v>
      </c>
      <c r="L58" s="12" t="str">
        <f>IF(AND(B58&gt;=18, B58&lt;=30),
    IF(N58&gt;=3, "Young Professionals", "Other"),
    IF(AND(B58&gt;=60, N58&gt;=3),
        "Wealthy Seniors",
        IF(AND(B58&gt;=31, B58&lt;=59, N58&gt;=2),
            "Moderately Engaged Prof.",
            IF(AND(B58&gt;=60, N58&lt;2),
                "Low-Income Retirees", "Other"))))</f>
        <v>Moderately Engaged Prof.</v>
      </c>
      <c r="M58" t="str">
        <f t="shared" si="1"/>
        <v>45-54</v>
      </c>
      <c r="N58" s="26">
        <f>H58 + I58</f>
        <v>3</v>
      </c>
      <c r="O58" s="26">
        <f t="shared" si="2"/>
        <v>53730.51263157896</v>
      </c>
    </row>
    <row r="59" spans="1:15" ht="18">
      <c r="A59" s="12">
        <v>58</v>
      </c>
      <c r="B59" s="12">
        <v>31</v>
      </c>
      <c r="C59" s="12">
        <v>47802.91</v>
      </c>
      <c r="D59" s="12" t="s">
        <v>8</v>
      </c>
      <c r="E59" s="12" t="s">
        <v>12</v>
      </c>
      <c r="F59" s="12" t="s">
        <v>14</v>
      </c>
      <c r="G59" s="12" t="s">
        <v>16</v>
      </c>
      <c r="H59" s="12">
        <v>2</v>
      </c>
      <c r="I59" s="12">
        <v>2</v>
      </c>
      <c r="J59" s="12">
        <v>1</v>
      </c>
      <c r="K59" s="12">
        <f t="shared" si="0"/>
        <v>46</v>
      </c>
      <c r="L59" s="12" t="str">
        <f>IF(AND(B59&gt;=18, B59&lt;=30),
    IF(N59&gt;=3, "Young Professionals", "Other"),
    IF(AND(B59&gt;=60, N59&gt;=3),
        "Wealthy Seniors",
        IF(AND(B59&gt;=31, B59&lt;=59, N59&gt;=2),
            "Moderately Engaged Prof.",
            IF(AND(B59&gt;=60, N59&lt;2),
                "Low-Income Retirees", "Other"))))</f>
        <v>Moderately Engaged Prof.</v>
      </c>
      <c r="M59" t="str">
        <f t="shared" si="1"/>
        <v>25-34</v>
      </c>
      <c r="N59" s="26">
        <f>H59 + I59</f>
        <v>4</v>
      </c>
      <c r="O59" s="26">
        <f t="shared" si="2"/>
        <v>53730.51263157896</v>
      </c>
    </row>
    <row r="60" spans="1:15" ht="18">
      <c r="A60" s="12">
        <v>59</v>
      </c>
      <c r="B60" s="12">
        <v>34</v>
      </c>
      <c r="C60" s="12">
        <v>37309.74</v>
      </c>
      <c r="D60" s="12" t="s">
        <v>7</v>
      </c>
      <c r="E60" s="12" t="s">
        <v>12</v>
      </c>
      <c r="F60" s="12" t="s">
        <v>14</v>
      </c>
      <c r="G60" s="12" t="s">
        <v>17</v>
      </c>
      <c r="H60" s="12">
        <v>2</v>
      </c>
      <c r="I60" s="12">
        <v>0</v>
      </c>
      <c r="J60" s="12">
        <v>2</v>
      </c>
      <c r="K60" s="12">
        <f t="shared" si="0"/>
        <v>46</v>
      </c>
      <c r="L60" s="12" t="str">
        <f>IF(AND(B60&gt;=18, B60&lt;=30),
    IF(N60&gt;=3, "Young Professionals", "Other"),
    IF(AND(B60&gt;=60, N60&gt;=3),
        "Wealthy Seniors",
        IF(AND(B60&gt;=31, B60&lt;=59, N60&gt;=2),
            "Moderately Engaged Prof.",
            IF(AND(B60&gt;=60, N60&lt;2),
                "Low-Income Retirees", "Other"))))</f>
        <v>Moderately Engaged Prof.</v>
      </c>
      <c r="M60" t="str">
        <f t="shared" si="1"/>
        <v>25-34</v>
      </c>
      <c r="N60" s="26">
        <f>H60 + I60</f>
        <v>2</v>
      </c>
      <c r="O60" s="26">
        <f t="shared" si="2"/>
        <v>53730.51263157896</v>
      </c>
    </row>
    <row r="61" spans="1:15" ht="18">
      <c r="A61" s="12">
        <v>60</v>
      </c>
      <c r="B61" s="12">
        <v>53</v>
      </c>
      <c r="C61" s="12">
        <v>37662.660000000003</v>
      </c>
      <c r="D61" s="12" t="s">
        <v>8</v>
      </c>
      <c r="E61" s="12" t="s">
        <v>11</v>
      </c>
      <c r="F61" s="12" t="s">
        <v>13</v>
      </c>
      <c r="G61" s="12" t="s">
        <v>17</v>
      </c>
      <c r="H61" s="12">
        <v>0</v>
      </c>
      <c r="I61" s="12">
        <v>0</v>
      </c>
      <c r="J61" s="12">
        <v>0</v>
      </c>
      <c r="K61" s="12">
        <f t="shared" si="0"/>
        <v>46</v>
      </c>
      <c r="L61" s="12" t="str">
        <f>IF(AND(B61&gt;=18, B61&lt;=30),
    IF(N61&gt;=3, "Young Professionals", "Other"),
    IF(AND(B61&gt;=60, N61&gt;=3),
        "Wealthy Seniors",
        IF(AND(B61&gt;=31, B61&lt;=59, N61&gt;=2),
            "Moderately Engaged Prof.",
            IF(AND(B61&gt;=60, N61&lt;2),
                "Low-Income Retirees", "Other"))))</f>
        <v>Other</v>
      </c>
      <c r="M61" t="str">
        <f t="shared" si="1"/>
        <v>45-54</v>
      </c>
      <c r="N61" s="26">
        <f>H61 + I61</f>
        <v>0</v>
      </c>
      <c r="O61" s="26">
        <f t="shared" si="2"/>
        <v>42046.358571428573</v>
      </c>
    </row>
    <row r="62" spans="1:15" ht="18">
      <c r="A62" s="12">
        <v>61</v>
      </c>
      <c r="B62" s="12">
        <v>57</v>
      </c>
      <c r="C62" s="12">
        <v>66300.91</v>
      </c>
      <c r="D62" s="12" t="s">
        <v>7</v>
      </c>
      <c r="E62" s="12" t="s">
        <v>9</v>
      </c>
      <c r="F62" s="12" t="s">
        <v>13</v>
      </c>
      <c r="G62" s="12" t="s">
        <v>18</v>
      </c>
      <c r="H62" s="12">
        <v>0</v>
      </c>
      <c r="I62" s="12">
        <v>1</v>
      </c>
      <c r="J62" s="12">
        <v>0</v>
      </c>
      <c r="K62" s="12">
        <f t="shared" si="0"/>
        <v>46</v>
      </c>
      <c r="L62" s="12" t="str">
        <f>IF(AND(B62&gt;=18, B62&lt;=30),
    IF(N62&gt;=3, "Young Professionals", "Other"),
    IF(AND(B62&gt;=60, N62&gt;=3),
        "Wealthy Seniors",
        IF(AND(B62&gt;=31, B62&lt;=59, N62&gt;=2),
            "Moderately Engaged Prof.",
            IF(AND(B62&gt;=60, N62&lt;2),
                "Low-Income Retirees", "Other"))))</f>
        <v>Other</v>
      </c>
      <c r="M62" t="str">
        <f t="shared" si="1"/>
        <v>55+</v>
      </c>
      <c r="N62" s="26">
        <f>H62 + I62</f>
        <v>1</v>
      </c>
      <c r="O62" s="26">
        <f t="shared" si="2"/>
        <v>42046.358571428573</v>
      </c>
    </row>
    <row r="63" spans="1:15" ht="18">
      <c r="A63" s="12">
        <v>62</v>
      </c>
      <c r="B63" s="12">
        <v>21</v>
      </c>
      <c r="C63" s="12">
        <v>65074.8</v>
      </c>
      <c r="D63" s="12" t="s">
        <v>8</v>
      </c>
      <c r="E63" s="12" t="s">
        <v>11</v>
      </c>
      <c r="F63" s="12" t="s">
        <v>14</v>
      </c>
      <c r="G63" s="12" t="s">
        <v>16</v>
      </c>
      <c r="H63" s="12">
        <v>2</v>
      </c>
      <c r="I63" s="12">
        <v>2</v>
      </c>
      <c r="J63" s="12">
        <v>1</v>
      </c>
      <c r="K63" s="12">
        <f t="shared" si="0"/>
        <v>46</v>
      </c>
      <c r="L63" s="12" t="str">
        <f>IF(AND(B63&gt;=18, B63&lt;=30),
    IF(N63&gt;=3, "Young Professionals", "Other"),
    IF(AND(B63&gt;=60, N63&gt;=3),
        "Wealthy Seniors",
        IF(AND(B63&gt;=31, B63&lt;=59, N63&gt;=2),
            "Moderately Engaged Prof.",
            IF(AND(B63&gt;=60, N63&lt;2),
                "Low-Income Retirees", "Other"))))</f>
        <v>Young Professionals</v>
      </c>
      <c r="M63" t="str">
        <f t="shared" si="1"/>
        <v>18-24</v>
      </c>
      <c r="N63" s="26">
        <f>H63 + I63</f>
        <v>4</v>
      </c>
      <c r="O63" s="26">
        <f t="shared" si="2"/>
        <v>50173.108</v>
      </c>
    </row>
    <row r="64" spans="1:15" ht="18">
      <c r="A64" s="12">
        <v>63</v>
      </c>
      <c r="B64" s="12">
        <v>19</v>
      </c>
      <c r="C64" s="12">
        <v>43373.51</v>
      </c>
      <c r="D64" s="12" t="s">
        <v>7</v>
      </c>
      <c r="E64" s="12" t="s">
        <v>11</v>
      </c>
      <c r="F64" s="12" t="s">
        <v>15</v>
      </c>
      <c r="G64" s="12" t="s">
        <v>16</v>
      </c>
      <c r="H64" s="12">
        <v>1</v>
      </c>
      <c r="I64" s="12">
        <v>2</v>
      </c>
      <c r="J64" s="12">
        <v>1</v>
      </c>
      <c r="K64" s="12">
        <f t="shared" si="0"/>
        <v>46</v>
      </c>
      <c r="L64" s="12" t="str">
        <f>IF(AND(B64&gt;=18, B64&lt;=30),
    IF(N64&gt;=3, "Young Professionals", "Other"),
    IF(AND(B64&gt;=60, N64&gt;=3),
        "Wealthy Seniors",
        IF(AND(B64&gt;=31, B64&lt;=59, N64&gt;=2),
            "Moderately Engaged Prof.",
            IF(AND(B64&gt;=60, N64&lt;2),
                "Low-Income Retirees", "Other"))))</f>
        <v>Young Professionals</v>
      </c>
      <c r="M64" t="str">
        <f t="shared" si="1"/>
        <v>18-24</v>
      </c>
      <c r="N64" s="26">
        <f>H64 + I64</f>
        <v>3</v>
      </c>
      <c r="O64" s="26">
        <f t="shared" si="2"/>
        <v>50173.108</v>
      </c>
    </row>
    <row r="65" spans="1:15" ht="18">
      <c r="A65" s="12">
        <v>64</v>
      </c>
      <c r="B65" s="12">
        <v>23</v>
      </c>
      <c r="C65" s="12">
        <v>48737.52</v>
      </c>
      <c r="D65" s="12" t="s">
        <v>7</v>
      </c>
      <c r="E65" s="12" t="s">
        <v>10</v>
      </c>
      <c r="F65" s="12" t="s">
        <v>14</v>
      </c>
      <c r="G65" s="12" t="s">
        <v>17</v>
      </c>
      <c r="H65" s="12">
        <v>2</v>
      </c>
      <c r="I65" s="12">
        <v>0</v>
      </c>
      <c r="J65" s="12">
        <v>2</v>
      </c>
      <c r="K65" s="12">
        <f t="shared" si="0"/>
        <v>46</v>
      </c>
      <c r="L65" s="12" t="str">
        <f>IF(AND(B65&gt;=18, B65&lt;=30),
    IF(N65&gt;=3, "Young Professionals", "Other"),
    IF(AND(B65&gt;=60, N65&gt;=3),
        "Wealthy Seniors",
        IF(AND(B65&gt;=31, B65&lt;=59, N65&gt;=2),
            "Moderately Engaged Prof.",
            IF(AND(B65&gt;=60, N65&lt;2),
                "Low-Income Retirees", "Other"))))</f>
        <v>Other</v>
      </c>
      <c r="M65" t="str">
        <f t="shared" si="1"/>
        <v>18-24</v>
      </c>
      <c r="N65" s="26">
        <f>H65 + I65</f>
        <v>2</v>
      </c>
      <c r="O65" s="26">
        <f t="shared" si="2"/>
        <v>42046.358571428573</v>
      </c>
    </row>
    <row r="66" spans="1:15" ht="18">
      <c r="A66" s="12">
        <v>65</v>
      </c>
      <c r="B66" s="12">
        <v>59</v>
      </c>
      <c r="C66" s="12">
        <v>68555.240000000005</v>
      </c>
      <c r="D66" s="12" t="s">
        <v>7</v>
      </c>
      <c r="E66" s="12" t="s">
        <v>12</v>
      </c>
      <c r="F66" s="12" t="s">
        <v>13</v>
      </c>
      <c r="G66" s="12" t="s">
        <v>16</v>
      </c>
      <c r="H66" s="12">
        <v>0</v>
      </c>
      <c r="I66" s="12">
        <v>2</v>
      </c>
      <c r="J66" s="12">
        <v>0</v>
      </c>
      <c r="K66" s="12">
        <f t="shared" si="0"/>
        <v>46</v>
      </c>
      <c r="L66" s="12" t="str">
        <f>IF(AND(B66&gt;=18, B66&lt;=30),
    IF(N66&gt;=3, "Young Professionals", "Other"),
    IF(AND(B66&gt;=60, N66&gt;=3),
        "Wealthy Seniors",
        IF(AND(B66&gt;=31, B66&lt;=59, N66&gt;=2),
            "Moderately Engaged Prof.",
            IF(AND(B66&gt;=60, N66&lt;2),
                "Low-Income Retirees", "Other"))))</f>
        <v>Moderately Engaged Prof.</v>
      </c>
      <c r="M66" t="str">
        <f t="shared" si="1"/>
        <v>55+</v>
      </c>
      <c r="N66" s="26">
        <f>H66 + I66</f>
        <v>2</v>
      </c>
      <c r="O66" s="26">
        <f t="shared" si="2"/>
        <v>53730.51263157896</v>
      </c>
    </row>
    <row r="67" spans="1:15" ht="18">
      <c r="A67" s="12">
        <v>66</v>
      </c>
      <c r="B67" s="12">
        <v>21</v>
      </c>
      <c r="C67" s="12">
        <v>28602.82</v>
      </c>
      <c r="D67" s="12" t="s">
        <v>7</v>
      </c>
      <c r="E67" s="12" t="s">
        <v>9</v>
      </c>
      <c r="F67" s="12" t="s">
        <v>13</v>
      </c>
      <c r="G67" s="12" t="s">
        <v>17</v>
      </c>
      <c r="H67" s="12">
        <v>0</v>
      </c>
      <c r="I67" s="12">
        <v>0</v>
      </c>
      <c r="J67" s="12">
        <v>2</v>
      </c>
      <c r="K67" s="12">
        <f t="shared" ref="K67:K101" si="3">COUNTIF(G$2:G$101,"Often Engaged")/COUNTA(G$2:G$101)*100</f>
        <v>46</v>
      </c>
      <c r="L67" s="12" t="str">
        <f>IF(AND(B67&gt;=18, B67&lt;=30),
    IF(N67&gt;=3, "Young Professionals", "Other"),
    IF(AND(B67&gt;=60, N67&gt;=3),
        "Wealthy Seniors",
        IF(AND(B67&gt;=31, B67&lt;=59, N67&gt;=2),
            "Moderately Engaged Prof.",
            IF(AND(B67&gt;=60, N67&lt;2),
                "Low-Income Retirees", "Other"))))</f>
        <v>Other</v>
      </c>
      <c r="M67" t="str">
        <f t="shared" ref="M67:M101" si="4">IF(B67&lt;25,"18-24",IF(B67&lt;35,"25-34",IF(B67&lt;45,"35-44",IF(B67&lt;55,"45-54","55+"))))</f>
        <v>18-24</v>
      </c>
      <c r="N67" s="26">
        <f>H67 + I67</f>
        <v>0</v>
      </c>
      <c r="O67" s="26">
        <f t="shared" ref="O67:O101" si="5">AVERAGEIFS(C:C, L:L, L67, N:N, "&gt;="&amp;2)</f>
        <v>42046.358571428573</v>
      </c>
    </row>
    <row r="68" spans="1:15" ht="18">
      <c r="A68" s="12">
        <v>67</v>
      </c>
      <c r="B68" s="12">
        <v>46</v>
      </c>
      <c r="C68" s="12">
        <v>55070.34</v>
      </c>
      <c r="D68" s="12" t="s">
        <v>7</v>
      </c>
      <c r="E68" s="12" t="s">
        <v>10</v>
      </c>
      <c r="F68" s="12" t="s">
        <v>15</v>
      </c>
      <c r="G68" s="12" t="s">
        <v>16</v>
      </c>
      <c r="H68" s="12">
        <v>1</v>
      </c>
      <c r="I68" s="12">
        <v>2</v>
      </c>
      <c r="J68" s="12">
        <v>3</v>
      </c>
      <c r="K68" s="12">
        <f t="shared" si="3"/>
        <v>46</v>
      </c>
      <c r="L68" s="12" t="str">
        <f>IF(AND(B68&gt;=18, B68&lt;=30),
    IF(N68&gt;=3, "Young Professionals", "Other"),
    IF(AND(B68&gt;=60, N68&gt;=3),
        "Wealthy Seniors",
        IF(AND(B68&gt;=31, B68&lt;=59, N68&gt;=2),
            "Moderately Engaged Prof.",
            IF(AND(B68&gt;=60, N68&lt;2),
                "Low-Income Retirees", "Other"))))</f>
        <v>Moderately Engaged Prof.</v>
      </c>
      <c r="M68" t="str">
        <f t="shared" si="4"/>
        <v>45-54</v>
      </c>
      <c r="N68" s="26">
        <f>H68 + I68</f>
        <v>3</v>
      </c>
      <c r="O68" s="26">
        <f t="shared" si="5"/>
        <v>53730.51263157896</v>
      </c>
    </row>
    <row r="69" spans="1:15" ht="18">
      <c r="A69" s="12">
        <v>68</v>
      </c>
      <c r="B69" s="12">
        <v>35</v>
      </c>
      <c r="C69" s="12">
        <v>79618.570000000007</v>
      </c>
      <c r="D69" s="12" t="s">
        <v>8</v>
      </c>
      <c r="E69" s="12" t="s">
        <v>11</v>
      </c>
      <c r="F69" s="12" t="s">
        <v>13</v>
      </c>
      <c r="G69" s="12" t="s">
        <v>17</v>
      </c>
      <c r="H69" s="12">
        <v>0</v>
      </c>
      <c r="I69" s="12">
        <v>0</v>
      </c>
      <c r="J69" s="12">
        <v>2</v>
      </c>
      <c r="K69" s="12">
        <f t="shared" si="3"/>
        <v>46</v>
      </c>
      <c r="L69" s="12" t="str">
        <f>IF(AND(B69&gt;=18, B69&lt;=30),
    IF(N69&gt;=3, "Young Professionals", "Other"),
    IF(AND(B69&gt;=60, N69&gt;=3),
        "Wealthy Seniors",
        IF(AND(B69&gt;=31, B69&lt;=59, N69&gt;=2),
            "Moderately Engaged Prof.",
            IF(AND(B69&gt;=60, N69&lt;2),
                "Low-Income Retirees", "Other"))))</f>
        <v>Other</v>
      </c>
      <c r="M69" t="str">
        <f t="shared" si="4"/>
        <v>35-44</v>
      </c>
      <c r="N69" s="26">
        <f>H69 + I69</f>
        <v>0</v>
      </c>
      <c r="O69" s="26">
        <f t="shared" si="5"/>
        <v>42046.358571428573</v>
      </c>
    </row>
    <row r="70" spans="1:15" ht="18">
      <c r="A70" s="12">
        <v>69</v>
      </c>
      <c r="B70" s="12">
        <v>43</v>
      </c>
      <c r="C70" s="12">
        <v>79475.520000000004</v>
      </c>
      <c r="D70" s="12" t="s">
        <v>8</v>
      </c>
      <c r="E70" s="12" t="s">
        <v>12</v>
      </c>
      <c r="F70" s="12" t="s">
        <v>14</v>
      </c>
      <c r="G70" s="12" t="s">
        <v>16</v>
      </c>
      <c r="H70" s="12">
        <v>2</v>
      </c>
      <c r="I70" s="12">
        <v>2</v>
      </c>
      <c r="J70" s="12">
        <v>1</v>
      </c>
      <c r="K70" s="12">
        <f t="shared" si="3"/>
        <v>46</v>
      </c>
      <c r="L70" s="12" t="str">
        <f>IF(AND(B70&gt;=18, B70&lt;=30),
    IF(N70&gt;=3, "Young Professionals", "Other"),
    IF(AND(B70&gt;=60, N70&gt;=3),
        "Wealthy Seniors",
        IF(AND(B70&gt;=31, B70&lt;=59, N70&gt;=2),
            "Moderately Engaged Prof.",
            IF(AND(B70&gt;=60, N70&lt;2),
                "Low-Income Retirees", "Other"))))</f>
        <v>Moderately Engaged Prof.</v>
      </c>
      <c r="M70" t="str">
        <f t="shared" si="4"/>
        <v>35-44</v>
      </c>
      <c r="N70" s="26">
        <f>H70 + I70</f>
        <v>4</v>
      </c>
      <c r="O70" s="26">
        <f t="shared" si="5"/>
        <v>53730.51263157896</v>
      </c>
    </row>
    <row r="71" spans="1:15" ht="18">
      <c r="A71" s="12">
        <v>70</v>
      </c>
      <c r="B71" s="12">
        <v>61</v>
      </c>
      <c r="C71" s="12">
        <v>20901.330000000002</v>
      </c>
      <c r="D71" s="12" t="s">
        <v>8</v>
      </c>
      <c r="E71" s="12" t="s">
        <v>10</v>
      </c>
      <c r="F71" s="12" t="s">
        <v>15</v>
      </c>
      <c r="G71" s="12" t="s">
        <v>18</v>
      </c>
      <c r="H71" s="12">
        <v>1</v>
      </c>
      <c r="I71" s="12">
        <v>1</v>
      </c>
      <c r="J71" s="12">
        <v>3</v>
      </c>
      <c r="K71" s="12">
        <f t="shared" si="3"/>
        <v>46</v>
      </c>
      <c r="L71" s="12" t="str">
        <f>IF(AND(B71&gt;=18, B71&lt;=30),
    IF(N71&gt;=3, "Young Professionals", "Other"),
    IF(AND(B71&gt;=60, N71&gt;=3),
        "Wealthy Seniors",
        IF(AND(B71&gt;=31, B71&lt;=59, N71&gt;=2),
            "Moderately Engaged Prof.",
            IF(AND(B71&gt;=60, N71&lt;2),
                "Low-Income Retirees", "Other"))))</f>
        <v>Other</v>
      </c>
      <c r="M71" t="str">
        <f t="shared" si="4"/>
        <v>55+</v>
      </c>
      <c r="N71" s="26">
        <f>H71 + I71</f>
        <v>2</v>
      </c>
      <c r="O71" s="26">
        <f t="shared" si="5"/>
        <v>42046.358571428573</v>
      </c>
    </row>
    <row r="72" spans="1:15" ht="18">
      <c r="A72" s="12">
        <v>71</v>
      </c>
      <c r="B72" s="12">
        <v>51</v>
      </c>
      <c r="C72" s="12">
        <v>38560.6</v>
      </c>
      <c r="D72" s="12" t="s">
        <v>7</v>
      </c>
      <c r="E72" s="12" t="s">
        <v>12</v>
      </c>
      <c r="F72" s="12" t="s">
        <v>14</v>
      </c>
      <c r="G72" s="12" t="s">
        <v>16</v>
      </c>
      <c r="H72" s="12">
        <v>2</v>
      </c>
      <c r="I72" s="12">
        <v>2</v>
      </c>
      <c r="J72" s="12">
        <v>3</v>
      </c>
      <c r="K72" s="12">
        <f t="shared" si="3"/>
        <v>46</v>
      </c>
      <c r="L72" s="12" t="str">
        <f>IF(AND(B72&gt;=18, B72&lt;=30),
    IF(N72&gt;=3, "Young Professionals", "Other"),
    IF(AND(B72&gt;=60, N72&gt;=3),
        "Wealthy Seniors",
        IF(AND(B72&gt;=31, B72&lt;=59, N72&gt;=2),
            "Moderately Engaged Prof.",
            IF(AND(B72&gt;=60, N72&lt;2),
                "Low-Income Retirees", "Other"))))</f>
        <v>Moderately Engaged Prof.</v>
      </c>
      <c r="M72" t="str">
        <f t="shared" si="4"/>
        <v>45-54</v>
      </c>
      <c r="N72" s="26">
        <f>H72 + I72</f>
        <v>4</v>
      </c>
      <c r="O72" s="26">
        <f t="shared" si="5"/>
        <v>53730.51263157896</v>
      </c>
    </row>
    <row r="73" spans="1:15" ht="18">
      <c r="A73" s="12">
        <v>72</v>
      </c>
      <c r="B73" s="12">
        <v>27</v>
      </c>
      <c r="C73" s="12">
        <v>52529.89</v>
      </c>
      <c r="D73" s="12" t="s">
        <v>8</v>
      </c>
      <c r="E73" s="12" t="s">
        <v>10</v>
      </c>
      <c r="F73" s="12" t="s">
        <v>14</v>
      </c>
      <c r="G73" s="12" t="s">
        <v>16</v>
      </c>
      <c r="H73" s="12">
        <v>2</v>
      </c>
      <c r="I73" s="12">
        <v>2</v>
      </c>
      <c r="J73" s="12">
        <v>1</v>
      </c>
      <c r="K73" s="12">
        <f t="shared" si="3"/>
        <v>46</v>
      </c>
      <c r="L73" s="12" t="str">
        <f>IF(AND(B73&gt;=18, B73&lt;=30),
    IF(N73&gt;=3, "Young Professionals", "Other"),
    IF(AND(B73&gt;=60, N73&gt;=3),
        "Wealthy Seniors",
        IF(AND(B73&gt;=31, B73&lt;=59, N73&gt;=2),
            "Moderately Engaged Prof.",
            IF(AND(B73&gt;=60, N73&lt;2),
                "Low-Income Retirees", "Other"))))</f>
        <v>Young Professionals</v>
      </c>
      <c r="M73" t="str">
        <f t="shared" si="4"/>
        <v>25-34</v>
      </c>
      <c r="N73" s="26">
        <f>H73 + I73</f>
        <v>4</v>
      </c>
      <c r="O73" s="26">
        <f t="shared" si="5"/>
        <v>50173.108</v>
      </c>
    </row>
    <row r="74" spans="1:15" ht="18">
      <c r="A74" s="12">
        <v>73</v>
      </c>
      <c r="B74" s="12">
        <v>53</v>
      </c>
      <c r="C74" s="12">
        <v>30171.85</v>
      </c>
      <c r="D74" s="12" t="s">
        <v>7</v>
      </c>
      <c r="E74" s="12" t="s">
        <v>12</v>
      </c>
      <c r="F74" s="12" t="s">
        <v>15</v>
      </c>
      <c r="G74" s="12" t="s">
        <v>18</v>
      </c>
      <c r="H74" s="12">
        <v>1</v>
      </c>
      <c r="I74" s="12">
        <v>1</v>
      </c>
      <c r="J74" s="12">
        <v>3</v>
      </c>
      <c r="K74" s="12">
        <f t="shared" si="3"/>
        <v>46</v>
      </c>
      <c r="L74" s="12" t="str">
        <f>IF(AND(B74&gt;=18, B74&lt;=30),
    IF(N74&gt;=3, "Young Professionals", "Other"),
    IF(AND(B74&gt;=60, N74&gt;=3),
        "Wealthy Seniors",
        IF(AND(B74&gt;=31, B74&lt;=59, N74&gt;=2),
            "Moderately Engaged Prof.",
            IF(AND(B74&gt;=60, N74&lt;2),
                "Low-Income Retirees", "Other"))))</f>
        <v>Moderately Engaged Prof.</v>
      </c>
      <c r="M74" t="str">
        <f t="shared" si="4"/>
        <v>45-54</v>
      </c>
      <c r="N74" s="26">
        <f>H74 + I74</f>
        <v>2</v>
      </c>
      <c r="O74" s="26">
        <f t="shared" si="5"/>
        <v>53730.51263157896</v>
      </c>
    </row>
    <row r="75" spans="1:15" ht="18">
      <c r="A75" s="12">
        <v>74</v>
      </c>
      <c r="B75" s="12">
        <v>31</v>
      </c>
      <c r="C75" s="12">
        <v>39976.300000000003</v>
      </c>
      <c r="D75" s="12" t="s">
        <v>7</v>
      </c>
      <c r="E75" s="12" t="s">
        <v>11</v>
      </c>
      <c r="F75" s="12" t="s">
        <v>14</v>
      </c>
      <c r="G75" s="12" t="s">
        <v>16</v>
      </c>
      <c r="H75" s="12">
        <v>2</v>
      </c>
      <c r="I75" s="12">
        <v>2</v>
      </c>
      <c r="J75" s="12">
        <v>1</v>
      </c>
      <c r="K75" s="12">
        <f t="shared" si="3"/>
        <v>46</v>
      </c>
      <c r="L75" s="12" t="str">
        <f>IF(AND(B75&gt;=18, B75&lt;=30),
    IF(N75&gt;=3, "Young Professionals", "Other"),
    IF(AND(B75&gt;=60, N75&gt;=3),
        "Wealthy Seniors",
        IF(AND(B75&gt;=31, B75&lt;=59, N75&gt;=2),
            "Moderately Engaged Prof.",
            IF(AND(B75&gt;=60, N75&lt;2),
                "Low-Income Retirees", "Other"))))</f>
        <v>Moderately Engaged Prof.</v>
      </c>
      <c r="M75" t="str">
        <f t="shared" si="4"/>
        <v>25-34</v>
      </c>
      <c r="N75" s="26">
        <f>H75 + I75</f>
        <v>4</v>
      </c>
      <c r="O75" s="26">
        <f t="shared" si="5"/>
        <v>53730.51263157896</v>
      </c>
    </row>
    <row r="76" spans="1:15" ht="18">
      <c r="A76" s="12">
        <v>75</v>
      </c>
      <c r="B76" s="12">
        <v>48</v>
      </c>
      <c r="C76" s="12">
        <v>47940.63</v>
      </c>
      <c r="D76" s="12" t="s">
        <v>8</v>
      </c>
      <c r="E76" s="12" t="s">
        <v>9</v>
      </c>
      <c r="F76" s="12" t="s">
        <v>13</v>
      </c>
      <c r="G76" s="12" t="s">
        <v>18</v>
      </c>
      <c r="H76" s="12">
        <v>0</v>
      </c>
      <c r="I76" s="12">
        <v>1</v>
      </c>
      <c r="J76" s="12">
        <v>0</v>
      </c>
      <c r="K76" s="12">
        <f t="shared" si="3"/>
        <v>46</v>
      </c>
      <c r="L76" s="12" t="str">
        <f>IF(AND(B76&gt;=18, B76&lt;=30),
    IF(N76&gt;=3, "Young Professionals", "Other"),
    IF(AND(B76&gt;=60, N76&gt;=3),
        "Wealthy Seniors",
        IF(AND(B76&gt;=31, B76&lt;=59, N76&gt;=2),
            "Moderately Engaged Prof.",
            IF(AND(B76&gt;=60, N76&lt;2),
                "Low-Income Retirees", "Other"))))</f>
        <v>Other</v>
      </c>
      <c r="M76" t="str">
        <f t="shared" si="4"/>
        <v>45-54</v>
      </c>
      <c r="N76" s="26">
        <f>H76 + I76</f>
        <v>1</v>
      </c>
      <c r="O76" s="26">
        <f t="shared" si="5"/>
        <v>42046.358571428573</v>
      </c>
    </row>
    <row r="77" spans="1:15" ht="18">
      <c r="A77" s="12">
        <v>76</v>
      </c>
      <c r="B77" s="12">
        <v>32</v>
      </c>
      <c r="C77" s="12">
        <v>71019.820000000007</v>
      </c>
      <c r="D77" s="12" t="s">
        <v>8</v>
      </c>
      <c r="E77" s="12" t="s">
        <v>11</v>
      </c>
      <c r="F77" s="12" t="s">
        <v>14</v>
      </c>
      <c r="G77" s="12" t="s">
        <v>16</v>
      </c>
      <c r="H77" s="12">
        <v>2</v>
      </c>
      <c r="I77" s="12">
        <v>2</v>
      </c>
      <c r="J77" s="12">
        <v>1</v>
      </c>
      <c r="K77" s="12">
        <f t="shared" si="3"/>
        <v>46</v>
      </c>
      <c r="L77" s="12" t="str">
        <f>IF(AND(B77&gt;=18, B77&lt;=30),
    IF(N77&gt;=3, "Young Professionals", "Other"),
    IF(AND(B77&gt;=60, N77&gt;=3),
        "Wealthy Seniors",
        IF(AND(B77&gt;=31, B77&lt;=59, N77&gt;=2),
            "Moderately Engaged Prof.",
            IF(AND(B77&gt;=60, N77&lt;2),
                "Low-Income Retirees", "Other"))))</f>
        <v>Moderately Engaged Prof.</v>
      </c>
      <c r="M77" t="str">
        <f t="shared" si="4"/>
        <v>25-34</v>
      </c>
      <c r="N77" s="26">
        <f>H77 + I77</f>
        <v>4</v>
      </c>
      <c r="O77" s="26">
        <f t="shared" si="5"/>
        <v>53730.51263157896</v>
      </c>
    </row>
    <row r="78" spans="1:15" ht="18">
      <c r="A78" s="12">
        <v>77</v>
      </c>
      <c r="B78" s="12">
        <v>25</v>
      </c>
      <c r="C78" s="12">
        <v>49318.96</v>
      </c>
      <c r="D78" s="12" t="s">
        <v>7</v>
      </c>
      <c r="E78" s="12" t="s">
        <v>9</v>
      </c>
      <c r="F78" s="12" t="s">
        <v>15</v>
      </c>
      <c r="G78" s="12" t="s">
        <v>17</v>
      </c>
      <c r="H78" s="12">
        <v>1</v>
      </c>
      <c r="I78" s="12">
        <v>0</v>
      </c>
      <c r="J78" s="12">
        <v>2</v>
      </c>
      <c r="K78" s="12">
        <f t="shared" si="3"/>
        <v>46</v>
      </c>
      <c r="L78" s="12" t="str">
        <f>IF(AND(B78&gt;=18, B78&lt;=30),
    IF(N78&gt;=3, "Young Professionals", "Other"),
    IF(AND(B78&gt;=60, N78&gt;=3),
        "Wealthy Seniors",
        IF(AND(B78&gt;=31, B78&lt;=59, N78&gt;=2),
            "Moderately Engaged Prof.",
            IF(AND(B78&gt;=60, N78&lt;2),
                "Low-Income Retirees", "Other"))))</f>
        <v>Other</v>
      </c>
      <c r="M78" t="str">
        <f t="shared" si="4"/>
        <v>25-34</v>
      </c>
      <c r="N78" s="26">
        <f>H78 + I78</f>
        <v>1</v>
      </c>
      <c r="O78" s="26">
        <f t="shared" si="5"/>
        <v>42046.358571428573</v>
      </c>
    </row>
    <row r="79" spans="1:15" ht="18">
      <c r="A79" s="12">
        <v>78</v>
      </c>
      <c r="B79" s="12">
        <v>31</v>
      </c>
      <c r="C79" s="12">
        <v>53254.05</v>
      </c>
      <c r="D79" s="12" t="s">
        <v>8</v>
      </c>
      <c r="E79" s="12" t="s">
        <v>12</v>
      </c>
      <c r="F79" s="12" t="s">
        <v>15</v>
      </c>
      <c r="G79" s="12" t="s">
        <v>17</v>
      </c>
      <c r="H79" s="12">
        <v>1</v>
      </c>
      <c r="I79" s="12">
        <v>0</v>
      </c>
      <c r="J79" s="12">
        <v>2</v>
      </c>
      <c r="K79" s="12">
        <f t="shared" si="3"/>
        <v>46</v>
      </c>
      <c r="L79" s="12" t="str">
        <f>IF(AND(B79&gt;=18, B79&lt;=30),
    IF(N79&gt;=3, "Young Professionals", "Other"),
    IF(AND(B79&gt;=60, N79&gt;=3),
        "Wealthy Seniors",
        IF(AND(B79&gt;=31, B79&lt;=59, N79&gt;=2),
            "Moderately Engaged Prof.",
            IF(AND(B79&gt;=60, N79&lt;2),
                "Low-Income Retirees", "Other"))))</f>
        <v>Other</v>
      </c>
      <c r="M79" t="str">
        <f t="shared" si="4"/>
        <v>25-34</v>
      </c>
      <c r="N79" s="26">
        <f>H79 + I79</f>
        <v>1</v>
      </c>
      <c r="O79" s="26">
        <f t="shared" si="5"/>
        <v>42046.358571428573</v>
      </c>
    </row>
    <row r="80" spans="1:15" ht="18">
      <c r="A80" s="12">
        <v>79</v>
      </c>
      <c r="B80" s="12">
        <v>40</v>
      </c>
      <c r="C80" s="12">
        <v>57686.36</v>
      </c>
      <c r="D80" s="12" t="s">
        <v>7</v>
      </c>
      <c r="E80" s="12" t="s">
        <v>10</v>
      </c>
      <c r="F80" s="12" t="s">
        <v>15</v>
      </c>
      <c r="G80" s="12" t="s">
        <v>16</v>
      </c>
      <c r="H80" s="12">
        <v>1</v>
      </c>
      <c r="I80" s="12">
        <v>2</v>
      </c>
      <c r="J80" s="12">
        <v>1</v>
      </c>
      <c r="K80" s="12">
        <f t="shared" si="3"/>
        <v>46</v>
      </c>
      <c r="L80" s="12" t="str">
        <f>IF(AND(B80&gt;=18, B80&lt;=30),
    IF(N80&gt;=3, "Young Professionals", "Other"),
    IF(AND(B80&gt;=60, N80&gt;=3),
        "Wealthy Seniors",
        IF(AND(B80&gt;=31, B80&lt;=59, N80&gt;=2),
            "Moderately Engaged Prof.",
            IF(AND(B80&gt;=60, N80&lt;2),
                "Low-Income Retirees", "Other"))))</f>
        <v>Moderately Engaged Prof.</v>
      </c>
      <c r="M80" t="str">
        <f t="shared" si="4"/>
        <v>35-44</v>
      </c>
      <c r="N80" s="26">
        <f>H80 + I80</f>
        <v>3</v>
      </c>
      <c r="O80" s="26">
        <f t="shared" si="5"/>
        <v>53730.51263157896</v>
      </c>
    </row>
    <row r="81" spans="1:15" ht="18">
      <c r="A81" s="12">
        <v>80</v>
      </c>
      <c r="B81" s="12">
        <v>57</v>
      </c>
      <c r="C81" s="12">
        <v>58152.33</v>
      </c>
      <c r="D81" s="12" t="s">
        <v>7</v>
      </c>
      <c r="E81" s="12" t="s">
        <v>11</v>
      </c>
      <c r="F81" s="12" t="s">
        <v>14</v>
      </c>
      <c r="G81" s="12" t="s">
        <v>16</v>
      </c>
      <c r="H81" s="12">
        <v>2</v>
      </c>
      <c r="I81" s="12">
        <v>2</v>
      </c>
      <c r="J81" s="12">
        <v>3</v>
      </c>
      <c r="K81" s="12">
        <f t="shared" si="3"/>
        <v>46</v>
      </c>
      <c r="L81" s="12" t="str">
        <f>IF(AND(B81&gt;=18, B81&lt;=30),
    IF(N81&gt;=3, "Young Professionals", "Other"),
    IF(AND(B81&gt;=60, N81&gt;=3),
        "Wealthy Seniors",
        IF(AND(B81&gt;=31, B81&lt;=59, N81&gt;=2),
            "Moderately Engaged Prof.",
            IF(AND(B81&gt;=60, N81&lt;2),
                "Low-Income Retirees", "Other"))))</f>
        <v>Moderately Engaged Prof.</v>
      </c>
      <c r="M81" t="str">
        <f t="shared" si="4"/>
        <v>55+</v>
      </c>
      <c r="N81" s="26">
        <f>H81 + I81</f>
        <v>4</v>
      </c>
      <c r="O81" s="26">
        <f t="shared" si="5"/>
        <v>53730.51263157896</v>
      </c>
    </row>
    <row r="82" spans="1:15" ht="18">
      <c r="A82" s="12">
        <v>81</v>
      </c>
      <c r="B82" s="12">
        <v>38</v>
      </c>
      <c r="C82" s="12">
        <v>50421.49</v>
      </c>
      <c r="D82" s="12" t="s">
        <v>7</v>
      </c>
      <c r="E82" s="12" t="s">
        <v>9</v>
      </c>
      <c r="F82" s="12" t="s">
        <v>15</v>
      </c>
      <c r="G82" s="12" t="s">
        <v>16</v>
      </c>
      <c r="H82" s="12">
        <v>1</v>
      </c>
      <c r="I82" s="12">
        <v>2</v>
      </c>
      <c r="J82" s="12">
        <v>1</v>
      </c>
      <c r="K82" s="12">
        <f t="shared" si="3"/>
        <v>46</v>
      </c>
      <c r="L82" s="12" t="str">
        <f>IF(AND(B82&gt;=18, B82&lt;=30),
    IF(N82&gt;=3, "Young Professionals", "Other"),
    IF(AND(B82&gt;=60, N82&gt;=3),
        "Wealthy Seniors",
        IF(AND(B82&gt;=31, B82&lt;=59, N82&gt;=2),
            "Moderately Engaged Prof.",
            IF(AND(B82&gt;=60, N82&lt;2),
                "Low-Income Retirees", "Other"))))</f>
        <v>Moderately Engaged Prof.</v>
      </c>
      <c r="M82" t="str">
        <f t="shared" si="4"/>
        <v>35-44</v>
      </c>
      <c r="N82" s="26">
        <f>H82 + I82</f>
        <v>3</v>
      </c>
      <c r="O82" s="26">
        <f t="shared" si="5"/>
        <v>53730.51263157896</v>
      </c>
    </row>
    <row r="83" spans="1:15" ht="18">
      <c r="A83" s="12">
        <v>82</v>
      </c>
      <c r="B83" s="12">
        <v>33</v>
      </c>
      <c r="C83" s="12">
        <v>32043.69</v>
      </c>
      <c r="D83" s="12" t="s">
        <v>7</v>
      </c>
      <c r="E83" s="12" t="s">
        <v>11</v>
      </c>
      <c r="F83" s="12" t="s">
        <v>15</v>
      </c>
      <c r="G83" s="12" t="s">
        <v>17</v>
      </c>
      <c r="H83" s="12">
        <v>1</v>
      </c>
      <c r="I83" s="12">
        <v>0</v>
      </c>
      <c r="J83" s="12">
        <v>2</v>
      </c>
      <c r="K83" s="12">
        <f t="shared" si="3"/>
        <v>46</v>
      </c>
      <c r="L83" s="12" t="str">
        <f>IF(AND(B83&gt;=18, B83&lt;=30),
    IF(N83&gt;=3, "Young Professionals", "Other"),
    IF(AND(B83&gt;=60, N83&gt;=3),
        "Wealthy Seniors",
        IF(AND(B83&gt;=31, B83&lt;=59, N83&gt;=2),
            "Moderately Engaged Prof.",
            IF(AND(B83&gt;=60, N83&lt;2),
                "Low-Income Retirees", "Other"))))</f>
        <v>Other</v>
      </c>
      <c r="M83" t="str">
        <f t="shared" si="4"/>
        <v>25-34</v>
      </c>
      <c r="N83" s="26">
        <f>H83 + I83</f>
        <v>1</v>
      </c>
      <c r="O83" s="26">
        <f t="shared" si="5"/>
        <v>42046.358571428573</v>
      </c>
    </row>
    <row r="84" spans="1:15" ht="18">
      <c r="A84" s="12">
        <v>83</v>
      </c>
      <c r="B84" s="12">
        <v>62</v>
      </c>
      <c r="C84" s="12">
        <v>61845.09</v>
      </c>
      <c r="D84" s="12" t="s">
        <v>7</v>
      </c>
      <c r="E84" s="12" t="s">
        <v>9</v>
      </c>
      <c r="F84" s="12" t="s">
        <v>14</v>
      </c>
      <c r="G84" s="12" t="s">
        <v>16</v>
      </c>
      <c r="H84" s="12">
        <v>2</v>
      </c>
      <c r="I84" s="12">
        <v>2</v>
      </c>
      <c r="J84" s="12">
        <v>3</v>
      </c>
      <c r="K84" s="12">
        <f t="shared" si="3"/>
        <v>46</v>
      </c>
      <c r="L84" s="12" t="str">
        <f>IF(AND(B84&gt;=18, B84&lt;=30),
    IF(N84&gt;=3, "Young Professionals", "Other"),
    IF(AND(B84&gt;=60, N84&gt;=3),
        "Wealthy Seniors",
        IF(AND(B84&gt;=31, B84&lt;=59, N84&gt;=2),
            "Moderately Engaged Prof.",
            IF(AND(B84&gt;=60, N84&lt;2),
                "Low-Income Retirees", "Other"))))</f>
        <v>Wealthy Seniors</v>
      </c>
      <c r="M84" t="str">
        <f t="shared" si="4"/>
        <v>55+</v>
      </c>
      <c r="N84" s="26">
        <f>H84 + I84</f>
        <v>4</v>
      </c>
      <c r="O84" s="26">
        <f t="shared" si="5"/>
        <v>54385.223333333328</v>
      </c>
    </row>
    <row r="85" spans="1:15" ht="18">
      <c r="A85" s="12">
        <v>84</v>
      </c>
      <c r="B85" s="12">
        <v>35</v>
      </c>
      <c r="C85" s="12">
        <v>56472.34</v>
      </c>
      <c r="D85" s="12" t="s">
        <v>8</v>
      </c>
      <c r="E85" s="12" t="s">
        <v>11</v>
      </c>
      <c r="F85" s="12" t="s">
        <v>13</v>
      </c>
      <c r="G85" s="12" t="s">
        <v>17</v>
      </c>
      <c r="H85" s="12">
        <v>0</v>
      </c>
      <c r="I85" s="12">
        <v>0</v>
      </c>
      <c r="J85" s="12">
        <v>2</v>
      </c>
      <c r="K85" s="12">
        <f t="shared" si="3"/>
        <v>46</v>
      </c>
      <c r="L85" s="12" t="str">
        <f>IF(AND(B85&gt;=18, B85&lt;=30),
    IF(N85&gt;=3, "Young Professionals", "Other"),
    IF(AND(B85&gt;=60, N85&gt;=3),
        "Wealthy Seniors",
        IF(AND(B85&gt;=31, B85&lt;=59, N85&gt;=2),
            "Moderately Engaged Prof.",
            IF(AND(B85&gt;=60, N85&lt;2),
                "Low-Income Retirees", "Other"))))</f>
        <v>Other</v>
      </c>
      <c r="M85" t="str">
        <f t="shared" si="4"/>
        <v>35-44</v>
      </c>
      <c r="N85" s="26">
        <f>H85 + I85</f>
        <v>0</v>
      </c>
      <c r="O85" s="26">
        <f t="shared" si="5"/>
        <v>42046.358571428573</v>
      </c>
    </row>
    <row r="86" spans="1:15" ht="18">
      <c r="A86" s="12">
        <v>85</v>
      </c>
      <c r="B86" s="12">
        <v>64</v>
      </c>
      <c r="C86" s="12">
        <v>33548.720000000001</v>
      </c>
      <c r="D86" s="12" t="s">
        <v>8</v>
      </c>
      <c r="E86" s="12" t="s">
        <v>9</v>
      </c>
      <c r="F86" s="12" t="s">
        <v>14</v>
      </c>
      <c r="G86" s="12" t="s">
        <v>18</v>
      </c>
      <c r="H86" s="12">
        <v>2</v>
      </c>
      <c r="I86" s="12">
        <v>1</v>
      </c>
      <c r="J86" s="12">
        <v>3</v>
      </c>
      <c r="K86" s="12">
        <f t="shared" si="3"/>
        <v>46</v>
      </c>
      <c r="L86" s="12" t="str">
        <f>IF(AND(B86&gt;=18, B86&lt;=30),
    IF(N86&gt;=3, "Young Professionals", "Other"),
    IF(AND(B86&gt;=60, N86&gt;=3),
        "Wealthy Seniors",
        IF(AND(B86&gt;=31, B86&lt;=59, N86&gt;=2),
            "Moderately Engaged Prof.",
            IF(AND(B86&gt;=60, N86&lt;2),
                "Low-Income Retirees", "Other"))))</f>
        <v>Wealthy Seniors</v>
      </c>
      <c r="M86" t="str">
        <f t="shared" si="4"/>
        <v>55+</v>
      </c>
      <c r="N86" s="26">
        <f>H86 + I86</f>
        <v>3</v>
      </c>
      <c r="O86" s="26">
        <f t="shared" si="5"/>
        <v>54385.223333333328</v>
      </c>
    </row>
    <row r="87" spans="1:15" ht="18">
      <c r="A87" s="12">
        <v>86</v>
      </c>
      <c r="B87" s="12">
        <v>41</v>
      </c>
      <c r="C87" s="12">
        <v>39765.480000000003</v>
      </c>
      <c r="D87" s="12" t="s">
        <v>7</v>
      </c>
      <c r="E87" s="12" t="s">
        <v>9</v>
      </c>
      <c r="F87" s="12" t="s">
        <v>15</v>
      </c>
      <c r="G87" s="12" t="s">
        <v>17</v>
      </c>
      <c r="H87" s="12">
        <v>1</v>
      </c>
      <c r="I87" s="12">
        <v>0</v>
      </c>
      <c r="J87" s="12">
        <v>2</v>
      </c>
      <c r="K87" s="12">
        <f t="shared" si="3"/>
        <v>46</v>
      </c>
      <c r="L87" s="12" t="str">
        <f>IF(AND(B87&gt;=18, B87&lt;=30),
    IF(N87&gt;=3, "Young Professionals", "Other"),
    IF(AND(B87&gt;=60, N87&gt;=3),
        "Wealthy Seniors",
        IF(AND(B87&gt;=31, B87&lt;=59, N87&gt;=2),
            "Moderately Engaged Prof.",
            IF(AND(B87&gt;=60, N87&lt;2),
                "Low-Income Retirees", "Other"))))</f>
        <v>Other</v>
      </c>
      <c r="M87" t="str">
        <f t="shared" si="4"/>
        <v>35-44</v>
      </c>
      <c r="N87" s="26">
        <f>H87 + I87</f>
        <v>1</v>
      </c>
      <c r="O87" s="26">
        <f t="shared" si="5"/>
        <v>42046.358571428573</v>
      </c>
    </row>
    <row r="88" spans="1:15" ht="18">
      <c r="A88" s="12">
        <v>87</v>
      </c>
      <c r="B88" s="12">
        <v>43</v>
      </c>
      <c r="C88" s="12">
        <v>63312.67</v>
      </c>
      <c r="D88" s="12" t="s">
        <v>7</v>
      </c>
      <c r="E88" s="12" t="s">
        <v>12</v>
      </c>
      <c r="F88" s="12" t="s">
        <v>15</v>
      </c>
      <c r="G88" s="12" t="s">
        <v>17</v>
      </c>
      <c r="H88" s="12">
        <v>1</v>
      </c>
      <c r="I88" s="12">
        <v>0</v>
      </c>
      <c r="J88" s="12">
        <v>2</v>
      </c>
      <c r="K88" s="12">
        <f t="shared" si="3"/>
        <v>46</v>
      </c>
      <c r="L88" s="12" t="str">
        <f>IF(AND(B88&gt;=18, B88&lt;=30),
    IF(N88&gt;=3, "Young Professionals", "Other"),
    IF(AND(B88&gt;=60, N88&gt;=3),
        "Wealthy Seniors",
        IF(AND(B88&gt;=31, B88&lt;=59, N88&gt;=2),
            "Moderately Engaged Prof.",
            IF(AND(B88&gt;=60, N88&lt;2),
                "Low-Income Retirees", "Other"))))</f>
        <v>Other</v>
      </c>
      <c r="M88" t="str">
        <f t="shared" si="4"/>
        <v>35-44</v>
      </c>
      <c r="N88" s="26">
        <f>H88 + I88</f>
        <v>1</v>
      </c>
      <c r="O88" s="26">
        <f t="shared" si="5"/>
        <v>42046.358571428573</v>
      </c>
    </row>
    <row r="89" spans="1:15" ht="18">
      <c r="A89" s="12">
        <v>88</v>
      </c>
      <c r="B89" s="12">
        <v>42</v>
      </c>
      <c r="C89" s="12">
        <v>59082.25</v>
      </c>
      <c r="D89" s="12" t="s">
        <v>8</v>
      </c>
      <c r="E89" s="12" t="s">
        <v>9</v>
      </c>
      <c r="F89" s="12" t="s">
        <v>14</v>
      </c>
      <c r="G89" s="12" t="s">
        <v>18</v>
      </c>
      <c r="H89" s="12">
        <v>2</v>
      </c>
      <c r="I89" s="12">
        <v>1</v>
      </c>
      <c r="J89" s="12">
        <v>1</v>
      </c>
      <c r="K89" s="12">
        <f t="shared" si="3"/>
        <v>46</v>
      </c>
      <c r="L89" s="12" t="str">
        <f>IF(AND(B89&gt;=18, B89&lt;=30),
    IF(N89&gt;=3, "Young Professionals", "Other"),
    IF(AND(B89&gt;=60, N89&gt;=3),
        "Wealthy Seniors",
        IF(AND(B89&gt;=31, B89&lt;=59, N89&gt;=2),
            "Moderately Engaged Prof.",
            IF(AND(B89&gt;=60, N89&lt;2),
                "Low-Income Retirees", "Other"))))</f>
        <v>Moderately Engaged Prof.</v>
      </c>
      <c r="M89" t="str">
        <f t="shared" si="4"/>
        <v>35-44</v>
      </c>
      <c r="N89" s="26">
        <f>H89 + I89</f>
        <v>3</v>
      </c>
      <c r="O89" s="26">
        <f t="shared" si="5"/>
        <v>53730.51263157896</v>
      </c>
    </row>
    <row r="90" spans="1:15" ht="18">
      <c r="A90" s="12">
        <v>89</v>
      </c>
      <c r="B90" s="12">
        <v>62</v>
      </c>
      <c r="C90" s="12">
        <v>39195.53</v>
      </c>
      <c r="D90" s="12" t="s">
        <v>8</v>
      </c>
      <c r="E90" s="12" t="s">
        <v>12</v>
      </c>
      <c r="F90" s="12" t="s">
        <v>13</v>
      </c>
      <c r="G90" s="12" t="s">
        <v>17</v>
      </c>
      <c r="H90" s="12">
        <v>0</v>
      </c>
      <c r="I90" s="12">
        <v>0</v>
      </c>
      <c r="J90" s="12">
        <v>0</v>
      </c>
      <c r="K90" s="12">
        <f t="shared" si="3"/>
        <v>46</v>
      </c>
      <c r="L90" s="12" t="str">
        <f>IF(AND(B90&gt;=18, B90&lt;=30),
    IF(N90&gt;=3, "Young Professionals", "Other"),
    IF(AND(B90&gt;=60, N90&gt;=3),
        "Wealthy Seniors",
        IF(AND(B90&gt;=31, B90&lt;=59, N90&gt;=2),
            "Moderately Engaged Prof.",
            IF(AND(B90&gt;=60, N90&lt;2),
                "Low-Income Retirees", "Other"))))</f>
        <v>Low-Income Retirees</v>
      </c>
      <c r="M90" t="str">
        <f t="shared" si="4"/>
        <v>55+</v>
      </c>
      <c r="N90" s="26">
        <f>H90 + I90</f>
        <v>0</v>
      </c>
      <c r="O90" s="26" t="s">
        <v>75</v>
      </c>
    </row>
    <row r="91" spans="1:15" ht="18">
      <c r="A91" s="12">
        <v>90</v>
      </c>
      <c r="B91" s="12">
        <v>58</v>
      </c>
      <c r="C91" s="12">
        <v>45950.99</v>
      </c>
      <c r="D91" s="12" t="s">
        <v>7</v>
      </c>
      <c r="E91" s="12" t="s">
        <v>9</v>
      </c>
      <c r="F91" s="12" t="s">
        <v>15</v>
      </c>
      <c r="G91" s="12" t="s">
        <v>16</v>
      </c>
      <c r="H91" s="12">
        <v>1</v>
      </c>
      <c r="I91" s="12">
        <v>2</v>
      </c>
      <c r="J91" s="12">
        <v>3</v>
      </c>
      <c r="K91" s="12">
        <f t="shared" si="3"/>
        <v>46</v>
      </c>
      <c r="L91" s="12" t="str">
        <f>IF(AND(B91&gt;=18, B91&lt;=30),
    IF(N91&gt;=3, "Young Professionals", "Other"),
    IF(AND(B91&gt;=60, N91&gt;=3),
        "Wealthy Seniors",
        IF(AND(B91&gt;=31, B91&lt;=59, N91&gt;=2),
            "Moderately Engaged Prof.",
            IF(AND(B91&gt;=60, N91&lt;2),
                "Low-Income Retirees", "Other"))))</f>
        <v>Moderately Engaged Prof.</v>
      </c>
      <c r="M91" t="str">
        <f t="shared" si="4"/>
        <v>55+</v>
      </c>
      <c r="N91" s="26">
        <f>H91 + I91</f>
        <v>3</v>
      </c>
      <c r="O91" s="26">
        <f t="shared" si="5"/>
        <v>53730.51263157896</v>
      </c>
    </row>
    <row r="92" spans="1:15" ht="18">
      <c r="A92" s="12">
        <v>91</v>
      </c>
      <c r="B92" s="12">
        <v>46</v>
      </c>
      <c r="C92" s="12">
        <v>47848.07</v>
      </c>
      <c r="D92" s="12" t="s">
        <v>8</v>
      </c>
      <c r="E92" s="12" t="s">
        <v>10</v>
      </c>
      <c r="F92" s="12" t="s">
        <v>15</v>
      </c>
      <c r="G92" s="12" t="s">
        <v>16</v>
      </c>
      <c r="H92" s="12">
        <v>1</v>
      </c>
      <c r="I92" s="12">
        <v>2</v>
      </c>
      <c r="J92" s="12">
        <v>3</v>
      </c>
      <c r="K92" s="12">
        <f t="shared" si="3"/>
        <v>46</v>
      </c>
      <c r="L92" s="12" t="str">
        <f>IF(AND(B92&gt;=18, B92&lt;=30),
    IF(N92&gt;=3, "Young Professionals", "Other"),
    IF(AND(B92&gt;=60, N92&gt;=3),
        "Wealthy Seniors",
        IF(AND(B92&gt;=31, B92&lt;=59, N92&gt;=2),
            "Moderately Engaged Prof.",
            IF(AND(B92&gt;=60, N92&lt;2),
                "Low-Income Retirees", "Other"))))</f>
        <v>Moderately Engaged Prof.</v>
      </c>
      <c r="M92" t="str">
        <f t="shared" si="4"/>
        <v>45-54</v>
      </c>
      <c r="N92" s="26">
        <f>H92 + I92</f>
        <v>3</v>
      </c>
      <c r="O92" s="26">
        <f t="shared" si="5"/>
        <v>53730.51263157896</v>
      </c>
    </row>
    <row r="93" spans="1:15" ht="18">
      <c r="A93" s="12">
        <v>92</v>
      </c>
      <c r="B93" s="12">
        <v>32</v>
      </c>
      <c r="C93" s="12">
        <v>59255.06</v>
      </c>
      <c r="D93" s="12" t="s">
        <v>7</v>
      </c>
      <c r="E93" s="12" t="s">
        <v>10</v>
      </c>
      <c r="F93" s="12" t="s">
        <v>15</v>
      </c>
      <c r="G93" s="12" t="s">
        <v>17</v>
      </c>
      <c r="H93" s="12">
        <v>1</v>
      </c>
      <c r="I93" s="12">
        <v>0</v>
      </c>
      <c r="J93" s="12">
        <v>2</v>
      </c>
      <c r="K93" s="12">
        <f t="shared" si="3"/>
        <v>46</v>
      </c>
      <c r="L93" s="12" t="str">
        <f>IF(AND(B93&gt;=18, B93&lt;=30),
    IF(N93&gt;=3, "Young Professionals", "Other"),
    IF(AND(B93&gt;=60, N93&gt;=3),
        "Wealthy Seniors",
        IF(AND(B93&gt;=31, B93&lt;=59, N93&gt;=2),
            "Moderately Engaged Prof.",
            IF(AND(B93&gt;=60, N93&lt;2),
                "Low-Income Retirees", "Other"))))</f>
        <v>Other</v>
      </c>
      <c r="M93" t="str">
        <f t="shared" si="4"/>
        <v>25-34</v>
      </c>
      <c r="N93" s="26">
        <f>H93 + I93</f>
        <v>1</v>
      </c>
      <c r="O93" s="26">
        <f t="shared" si="5"/>
        <v>42046.358571428573</v>
      </c>
    </row>
    <row r="94" spans="1:15" ht="18">
      <c r="A94" s="12">
        <v>93</v>
      </c>
      <c r="B94" s="12">
        <v>62</v>
      </c>
      <c r="C94" s="12">
        <v>68734.11</v>
      </c>
      <c r="D94" s="12" t="s">
        <v>8</v>
      </c>
      <c r="E94" s="12" t="s">
        <v>10</v>
      </c>
      <c r="F94" s="12" t="s">
        <v>14</v>
      </c>
      <c r="G94" s="12" t="s">
        <v>16</v>
      </c>
      <c r="H94" s="12">
        <v>2</v>
      </c>
      <c r="I94" s="12">
        <v>2</v>
      </c>
      <c r="J94" s="12">
        <v>3</v>
      </c>
      <c r="K94" s="12">
        <f t="shared" si="3"/>
        <v>46</v>
      </c>
      <c r="L94" s="12" t="str">
        <f>IF(AND(B94&gt;=18, B94&lt;=30),
    IF(N94&gt;=3, "Young Professionals", "Other"),
    IF(AND(B94&gt;=60, N94&gt;=3),
        "Wealthy Seniors",
        IF(AND(B94&gt;=31, B94&lt;=59, N94&gt;=2),
            "Moderately Engaged Prof.",
            IF(AND(B94&gt;=60, N94&lt;2),
                "Low-Income Retirees", "Other"))))</f>
        <v>Wealthy Seniors</v>
      </c>
      <c r="M94" t="str">
        <f t="shared" si="4"/>
        <v>55+</v>
      </c>
      <c r="N94" s="26">
        <f>H94 + I94</f>
        <v>4</v>
      </c>
      <c r="O94" s="26">
        <f t="shared" si="5"/>
        <v>54385.223333333328</v>
      </c>
    </row>
    <row r="95" spans="1:15" ht="18">
      <c r="A95" s="12">
        <v>94</v>
      </c>
      <c r="B95" s="12">
        <v>18</v>
      </c>
      <c r="C95" s="12">
        <v>50984.74</v>
      </c>
      <c r="D95" s="12" t="s">
        <v>7</v>
      </c>
      <c r="E95" s="12" t="s">
        <v>9</v>
      </c>
      <c r="F95" s="12" t="s">
        <v>15</v>
      </c>
      <c r="G95" s="12" t="s">
        <v>17</v>
      </c>
      <c r="H95" s="12">
        <v>1</v>
      </c>
      <c r="I95" s="12">
        <v>0</v>
      </c>
      <c r="J95" s="12">
        <v>2</v>
      </c>
      <c r="K95" s="12">
        <f t="shared" si="3"/>
        <v>46</v>
      </c>
      <c r="L95" s="12" t="str">
        <f>IF(AND(B95&gt;=18, B95&lt;=30),
    IF(N95&gt;=3, "Young Professionals", "Other"),
    IF(AND(B95&gt;=60, N95&gt;=3),
        "Wealthy Seniors",
        IF(AND(B95&gt;=31, B95&lt;=59, N95&gt;=2),
            "Moderately Engaged Prof.",
            IF(AND(B95&gt;=60, N95&lt;2),
                "Low-Income Retirees", "Other"))))</f>
        <v>Other</v>
      </c>
      <c r="M95" t="str">
        <f t="shared" si="4"/>
        <v>18-24</v>
      </c>
      <c r="N95" s="26">
        <f>H95 + I95</f>
        <v>1</v>
      </c>
      <c r="O95" s="26">
        <f t="shared" si="5"/>
        <v>42046.358571428573</v>
      </c>
    </row>
    <row r="96" spans="1:15" ht="18">
      <c r="A96" s="12">
        <v>95</v>
      </c>
      <c r="B96" s="12">
        <v>42</v>
      </c>
      <c r="C96" s="12">
        <v>67538.11</v>
      </c>
      <c r="D96" s="12" t="s">
        <v>8</v>
      </c>
      <c r="E96" s="12" t="s">
        <v>12</v>
      </c>
      <c r="F96" s="12" t="s">
        <v>13</v>
      </c>
      <c r="G96" s="12" t="s">
        <v>16</v>
      </c>
      <c r="H96" s="12">
        <v>0</v>
      </c>
      <c r="I96" s="12">
        <v>2</v>
      </c>
      <c r="J96" s="12">
        <v>0</v>
      </c>
      <c r="K96" s="12">
        <f t="shared" si="3"/>
        <v>46</v>
      </c>
      <c r="L96" s="12" t="str">
        <f>IF(AND(B96&gt;=18, B96&lt;=30),
    IF(N96&gt;=3, "Young Professionals", "Other"),
    IF(AND(B96&gt;=60, N96&gt;=3),
        "Wealthy Seniors",
        IF(AND(B96&gt;=31, B96&lt;=59, N96&gt;=2),
            "Moderately Engaged Prof.",
            IF(AND(B96&gt;=60, N96&lt;2),
                "Low-Income Retirees", "Other"))))</f>
        <v>Moderately Engaged Prof.</v>
      </c>
      <c r="M96" t="str">
        <f t="shared" si="4"/>
        <v>35-44</v>
      </c>
      <c r="N96" s="26">
        <f>H96 + I96</f>
        <v>2</v>
      </c>
      <c r="O96" s="26">
        <f t="shared" si="5"/>
        <v>53730.51263157896</v>
      </c>
    </row>
    <row r="97" spans="1:15" ht="18">
      <c r="A97" s="12">
        <v>96</v>
      </c>
      <c r="B97" s="12">
        <v>24</v>
      </c>
      <c r="C97" s="12">
        <v>63099.75</v>
      </c>
      <c r="D97" s="12" t="s">
        <v>7</v>
      </c>
      <c r="E97" s="12" t="s">
        <v>12</v>
      </c>
      <c r="F97" s="12" t="s">
        <v>15</v>
      </c>
      <c r="G97" s="12" t="s">
        <v>16</v>
      </c>
      <c r="H97" s="12">
        <v>1</v>
      </c>
      <c r="I97" s="12">
        <v>2</v>
      </c>
      <c r="J97" s="12">
        <v>1</v>
      </c>
      <c r="K97" s="12">
        <f t="shared" si="3"/>
        <v>46</v>
      </c>
      <c r="L97" s="12" t="str">
        <f>IF(AND(B97&gt;=18, B97&lt;=30),
    IF(N97&gt;=3, "Young Professionals", "Other"),
    IF(AND(B97&gt;=60, N97&gt;=3),
        "Wealthy Seniors",
        IF(AND(B97&gt;=31, B97&lt;=59, N97&gt;=2),
            "Moderately Engaged Prof.",
            IF(AND(B97&gt;=60, N97&lt;2),
                "Low-Income Retirees", "Other"))))</f>
        <v>Young Professionals</v>
      </c>
      <c r="M97" t="str">
        <f t="shared" si="4"/>
        <v>18-24</v>
      </c>
      <c r="N97" s="26">
        <f>H97 + I97</f>
        <v>3</v>
      </c>
      <c r="O97" s="26">
        <f t="shared" si="5"/>
        <v>50173.108</v>
      </c>
    </row>
    <row r="98" spans="1:15" ht="18">
      <c r="A98" s="12">
        <v>97</v>
      </c>
      <c r="B98" s="12">
        <v>26</v>
      </c>
      <c r="C98" s="12">
        <v>53084.75</v>
      </c>
      <c r="D98" s="12" t="s">
        <v>8</v>
      </c>
      <c r="E98" s="12" t="s">
        <v>9</v>
      </c>
      <c r="F98" s="12" t="s">
        <v>15</v>
      </c>
      <c r="G98" s="12" t="s">
        <v>17</v>
      </c>
      <c r="H98" s="12">
        <v>1</v>
      </c>
      <c r="I98" s="12">
        <v>0</v>
      </c>
      <c r="J98" s="12">
        <v>2</v>
      </c>
      <c r="K98" s="12">
        <f t="shared" si="3"/>
        <v>46</v>
      </c>
      <c r="L98" s="12" t="str">
        <f>IF(AND(B98&gt;=18, B98&lt;=30),
    IF(N98&gt;=3, "Young Professionals", "Other"),
    IF(AND(B98&gt;=60, N98&gt;=3),
        "Wealthy Seniors",
        IF(AND(B98&gt;=31, B98&lt;=59, N98&gt;=2),
            "Moderately Engaged Prof.",
            IF(AND(B98&gt;=60, N98&lt;2),
                "Low-Income Retirees", "Other"))))</f>
        <v>Other</v>
      </c>
      <c r="M98" t="str">
        <f t="shared" si="4"/>
        <v>25-34</v>
      </c>
      <c r="N98" s="26">
        <f>H98 + I98</f>
        <v>1</v>
      </c>
      <c r="O98" s="26">
        <f t="shared" si="5"/>
        <v>42046.358571428573</v>
      </c>
    </row>
    <row r="99" spans="1:15" ht="18">
      <c r="A99" s="12">
        <v>98</v>
      </c>
      <c r="B99" s="12">
        <v>41</v>
      </c>
      <c r="C99" s="12">
        <v>28347.75</v>
      </c>
      <c r="D99" s="12" t="s">
        <v>8</v>
      </c>
      <c r="E99" s="12" t="s">
        <v>10</v>
      </c>
      <c r="F99" s="12" t="s">
        <v>13</v>
      </c>
      <c r="G99" s="12" t="s">
        <v>16</v>
      </c>
      <c r="H99" s="12">
        <v>0</v>
      </c>
      <c r="I99" s="12">
        <v>2</v>
      </c>
      <c r="J99" s="12">
        <v>0</v>
      </c>
      <c r="K99" s="12">
        <f t="shared" si="3"/>
        <v>46</v>
      </c>
      <c r="L99" s="12" t="str">
        <f>IF(AND(B99&gt;=18, B99&lt;=30),
    IF(N99&gt;=3, "Young Professionals", "Other"),
    IF(AND(B99&gt;=60, N99&gt;=3),
        "Wealthy Seniors",
        IF(AND(B99&gt;=31, B99&lt;=59, N99&gt;=2),
            "Moderately Engaged Prof.",
            IF(AND(B99&gt;=60, N99&lt;2),
                "Low-Income Retirees", "Other"))))</f>
        <v>Moderately Engaged Prof.</v>
      </c>
      <c r="M99" t="str">
        <f t="shared" si="4"/>
        <v>35-44</v>
      </c>
      <c r="N99" s="26">
        <f>H99 + I99</f>
        <v>2</v>
      </c>
      <c r="O99" s="26">
        <f t="shared" si="5"/>
        <v>53730.51263157896</v>
      </c>
    </row>
    <row r="100" spans="1:15" ht="18">
      <c r="A100" s="12">
        <v>99</v>
      </c>
      <c r="B100" s="12">
        <v>18</v>
      </c>
      <c r="C100" s="12">
        <v>34584.339999999997</v>
      </c>
      <c r="D100" s="12" t="s">
        <v>7</v>
      </c>
      <c r="E100" s="12" t="s">
        <v>10</v>
      </c>
      <c r="F100" s="12" t="s">
        <v>15</v>
      </c>
      <c r="G100" s="12" t="s">
        <v>17</v>
      </c>
      <c r="H100" s="12">
        <v>1</v>
      </c>
      <c r="I100" s="12">
        <v>0</v>
      </c>
      <c r="J100" s="12">
        <v>2</v>
      </c>
      <c r="K100" s="12">
        <f t="shared" si="3"/>
        <v>46</v>
      </c>
      <c r="L100" s="12" t="str">
        <f>IF(AND(B100&gt;=18, B100&lt;=30),
    IF(N100&gt;=3, "Young Professionals", "Other"),
    IF(AND(B100&gt;=60, N100&gt;=3),
        "Wealthy Seniors",
        IF(AND(B100&gt;=31, B100&lt;=59, N100&gt;=2),
            "Moderately Engaged Prof.",
            IF(AND(B100&gt;=60, N100&lt;2),
                "Low-Income Retirees", "Other"))))</f>
        <v>Other</v>
      </c>
      <c r="M100" t="str">
        <f t="shared" si="4"/>
        <v>18-24</v>
      </c>
      <c r="N100" s="26">
        <f>H100 + I100</f>
        <v>1</v>
      </c>
      <c r="O100" s="26">
        <f t="shared" si="5"/>
        <v>42046.358571428573</v>
      </c>
    </row>
    <row r="101" spans="1:15" ht="18">
      <c r="A101" s="12">
        <v>100</v>
      </c>
      <c r="B101" s="12">
        <v>61</v>
      </c>
      <c r="C101" s="12">
        <v>61118.61</v>
      </c>
      <c r="D101" s="12" t="s">
        <v>8</v>
      </c>
      <c r="E101" s="12" t="s">
        <v>12</v>
      </c>
      <c r="F101" s="12" t="s">
        <v>14</v>
      </c>
      <c r="G101" s="12" t="s">
        <v>16</v>
      </c>
      <c r="H101" s="12">
        <v>2</v>
      </c>
      <c r="I101" s="12">
        <v>2</v>
      </c>
      <c r="J101" s="12">
        <v>3</v>
      </c>
      <c r="K101" s="12">
        <f t="shared" si="3"/>
        <v>46</v>
      </c>
      <c r="L101" s="12" t="str">
        <f>IF(AND(B101&gt;=18, B101&lt;=30),
    IF(N101&gt;=3, "Young Professionals", "Other"),
    IF(AND(B101&gt;=60, N101&gt;=3),
        "Wealthy Seniors",
        IF(AND(B101&gt;=31, B101&lt;=59, N101&gt;=2),
            "Moderately Engaged Prof.",
            IF(AND(B101&gt;=60, N101&lt;2),
                "Low-Income Retirees", "Other"))))</f>
        <v>Wealthy Seniors</v>
      </c>
      <c r="M101" t="str">
        <f t="shared" si="4"/>
        <v>55+</v>
      </c>
      <c r="N101" s="26">
        <f>H101 + I101</f>
        <v>4</v>
      </c>
      <c r="O101" s="26">
        <f t="shared" si="5"/>
        <v>54385.223333333328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234-3D94-3542-8163-1F3EB8383FB0}">
  <sheetPr>
    <tabColor theme="6" tint="0.59999389629810485"/>
  </sheetPr>
  <dimension ref="D7:J22"/>
  <sheetViews>
    <sheetView workbookViewId="0">
      <selection activeCell="C33" sqref="C33"/>
    </sheetView>
  </sheetViews>
  <sheetFormatPr baseColWidth="10" defaultRowHeight="15"/>
  <cols>
    <col min="4" max="4" width="20.5" bestFit="1" customWidth="1"/>
    <col min="5" max="5" width="17.6640625" bestFit="1" customWidth="1"/>
    <col min="6" max="6" width="15.5" bestFit="1" customWidth="1"/>
    <col min="7" max="7" width="16" bestFit="1" customWidth="1"/>
    <col min="8" max="8" width="33.83203125" bestFit="1" customWidth="1"/>
    <col min="9" max="9" width="27.1640625" bestFit="1" customWidth="1"/>
    <col min="10" max="10" width="23.1640625" bestFit="1" customWidth="1"/>
    <col min="11" max="11" width="21.83203125" bestFit="1" customWidth="1"/>
  </cols>
  <sheetData>
    <row r="7" spans="4:10">
      <c r="D7" s="3" t="s">
        <v>20</v>
      </c>
      <c r="E7" t="s">
        <v>28</v>
      </c>
      <c r="F7" t="s">
        <v>68</v>
      </c>
      <c r="G7" t="s">
        <v>69</v>
      </c>
      <c r="H7" t="s">
        <v>70</v>
      </c>
      <c r="I7" t="s">
        <v>71</v>
      </c>
      <c r="J7" t="s">
        <v>79</v>
      </c>
    </row>
    <row r="8" spans="4:10">
      <c r="D8" s="4" t="s">
        <v>78</v>
      </c>
      <c r="E8" s="5">
        <v>15</v>
      </c>
      <c r="F8" s="27">
        <v>50173.108</v>
      </c>
      <c r="G8" s="28">
        <v>23.6</v>
      </c>
      <c r="H8" s="28">
        <v>1.6</v>
      </c>
      <c r="I8" s="28">
        <v>1.8</v>
      </c>
      <c r="J8" s="28">
        <v>3.4</v>
      </c>
    </row>
    <row r="9" spans="4:10">
      <c r="D9" s="4" t="s">
        <v>77</v>
      </c>
      <c r="E9" s="5">
        <v>6</v>
      </c>
      <c r="F9" s="27">
        <v>54385.223333333328</v>
      </c>
      <c r="G9" s="28">
        <v>62.333333333333336</v>
      </c>
      <c r="H9" s="28">
        <v>1.8333333333333333</v>
      </c>
      <c r="I9" s="28">
        <v>1.8333333333333333</v>
      </c>
      <c r="J9" s="28">
        <v>3.6666666666666665</v>
      </c>
    </row>
    <row r="10" spans="4:10">
      <c r="D10" s="4" t="s">
        <v>64</v>
      </c>
      <c r="E10" s="5">
        <v>37</v>
      </c>
      <c r="F10" s="27">
        <v>48384.00270270271</v>
      </c>
      <c r="G10" s="28">
        <v>38.351351351351354</v>
      </c>
      <c r="H10" s="28">
        <v>0.70270270270270274</v>
      </c>
      <c r="I10" s="28">
        <v>0.35135135135135137</v>
      </c>
      <c r="J10" s="28">
        <v>1.0540540540540539</v>
      </c>
    </row>
    <row r="11" spans="4:10">
      <c r="D11" s="4" t="s">
        <v>63</v>
      </c>
      <c r="E11" s="5">
        <v>38</v>
      </c>
      <c r="F11" s="27">
        <v>53730.51263157896</v>
      </c>
      <c r="G11" s="28">
        <v>44.578947368421055</v>
      </c>
      <c r="H11" s="28">
        <v>1.236842105263158</v>
      </c>
      <c r="I11" s="28">
        <v>1.6052631578947369</v>
      </c>
      <c r="J11" s="28">
        <v>2.8421052631578947</v>
      </c>
    </row>
    <row r="12" spans="4:10">
      <c r="D12" s="4" t="s">
        <v>76</v>
      </c>
      <c r="E12" s="5">
        <v>4</v>
      </c>
      <c r="F12" s="27">
        <v>47972.202499999999</v>
      </c>
      <c r="G12" s="28">
        <v>61.75</v>
      </c>
      <c r="H12" s="28">
        <v>0.25</v>
      </c>
      <c r="I12" s="28">
        <v>0.5</v>
      </c>
      <c r="J12" s="28">
        <v>0.75</v>
      </c>
    </row>
    <row r="13" spans="4:10">
      <c r="D13" s="4" t="s">
        <v>26</v>
      </c>
      <c r="E13" s="5">
        <v>100</v>
      </c>
      <c r="F13" s="27">
        <v>51027.643500000013</v>
      </c>
      <c r="G13" s="28">
        <v>40.880000000000003</v>
      </c>
      <c r="H13" s="28">
        <v>1.0900000000000001</v>
      </c>
      <c r="I13" s="28">
        <v>1.1399999999999999</v>
      </c>
      <c r="J13" s="28">
        <v>2.23</v>
      </c>
    </row>
    <row r="16" spans="4:10">
      <c r="D16" s="29" t="s">
        <v>82</v>
      </c>
      <c r="E16" s="29" t="s">
        <v>41</v>
      </c>
      <c r="F16" s="29" t="s">
        <v>80</v>
      </c>
      <c r="G16" s="29" t="s">
        <v>81</v>
      </c>
    </row>
    <row r="17" spans="4:7">
      <c r="D17" t="s">
        <v>83</v>
      </c>
      <c r="E17">
        <v>15</v>
      </c>
      <c r="F17" s="30">
        <v>50173.11</v>
      </c>
      <c r="G17" s="30">
        <v>752596.65</v>
      </c>
    </row>
    <row r="18" spans="4:7">
      <c r="D18" t="s">
        <v>84</v>
      </c>
      <c r="E18">
        <v>6</v>
      </c>
      <c r="F18" s="30">
        <v>54385.22</v>
      </c>
      <c r="G18" s="30">
        <v>326311.32</v>
      </c>
    </row>
    <row r="19" spans="4:7">
      <c r="D19" t="s">
        <v>85</v>
      </c>
      <c r="E19">
        <v>37</v>
      </c>
      <c r="F19" s="30">
        <v>48384</v>
      </c>
      <c r="G19" s="30">
        <v>1790208</v>
      </c>
    </row>
    <row r="20" spans="4:7">
      <c r="D20" t="s">
        <v>63</v>
      </c>
      <c r="E20">
        <v>38</v>
      </c>
      <c r="F20" s="30">
        <v>53730.51</v>
      </c>
      <c r="G20" s="30">
        <v>2041759.38</v>
      </c>
    </row>
    <row r="21" spans="4:7">
      <c r="D21" t="s">
        <v>86</v>
      </c>
      <c r="E21">
        <v>4</v>
      </c>
      <c r="F21" s="30">
        <v>47972.2</v>
      </c>
      <c r="G21" s="30">
        <v>191888.8</v>
      </c>
    </row>
    <row r="22" spans="4:7">
      <c r="D22" t="s">
        <v>87</v>
      </c>
      <c r="E22">
        <v>100</v>
      </c>
      <c r="F22" s="30">
        <v>51027.64</v>
      </c>
      <c r="G22" s="30">
        <v>5102764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7DAC-F33C-C741-97D1-1C85D21103C5}">
  <sheetPr>
    <tabColor theme="7"/>
    <pageSetUpPr fitToPage="1"/>
  </sheetPr>
  <dimension ref="A1:E146"/>
  <sheetViews>
    <sheetView showGridLines="0" workbookViewId="0">
      <selection activeCell="M21" sqref="M21"/>
    </sheetView>
  </sheetViews>
  <sheetFormatPr baseColWidth="10" defaultColWidth="8.33203125" defaultRowHeight="20" customHeight="1"/>
  <cols>
    <col min="1" max="1" width="10" style="14" customWidth="1"/>
    <col min="2" max="2" width="15.1640625" style="14" customWidth="1"/>
    <col min="3" max="3" width="7.1640625" style="14" customWidth="1"/>
    <col min="4" max="4" width="18" style="14" customWidth="1"/>
    <col min="5" max="5" width="20.5" style="14" customWidth="1"/>
    <col min="6" max="6" width="8.33203125" style="14" customWidth="1"/>
    <col min="7" max="16384" width="8.33203125" style="14"/>
  </cols>
  <sheetData>
    <row r="1" spans="1:5" ht="27.75" customHeight="1">
      <c r="A1" s="13" t="s">
        <v>55</v>
      </c>
      <c r="B1" s="13"/>
      <c r="C1" s="13"/>
      <c r="D1" s="13"/>
      <c r="E1" s="13"/>
    </row>
    <row r="2" spans="1:5" ht="20.25" customHeight="1">
      <c r="A2" s="15" t="s">
        <v>56</v>
      </c>
      <c r="B2" s="15" t="s">
        <v>57</v>
      </c>
      <c r="C2" s="15" t="s">
        <v>4</v>
      </c>
      <c r="D2" s="15" t="s">
        <v>5</v>
      </c>
      <c r="E2" s="15" t="s">
        <v>58</v>
      </c>
    </row>
    <row r="3" spans="1:5" ht="20.25" customHeight="1">
      <c r="A3" s="16" t="s">
        <v>59</v>
      </c>
      <c r="B3" s="17" t="s">
        <v>46</v>
      </c>
      <c r="C3" s="18" t="s">
        <v>10</v>
      </c>
      <c r="D3" s="18" t="s">
        <v>14</v>
      </c>
      <c r="E3" s="19">
        <v>0</v>
      </c>
    </row>
    <row r="4" spans="1:5" ht="20" customHeight="1">
      <c r="A4" s="20" t="s">
        <v>59</v>
      </c>
      <c r="B4" s="21" t="s">
        <v>46</v>
      </c>
      <c r="C4" s="22" t="s">
        <v>10</v>
      </c>
      <c r="D4" s="22" t="s">
        <v>13</v>
      </c>
      <c r="E4" s="23">
        <v>2</v>
      </c>
    </row>
    <row r="5" spans="1:5" ht="20" customHeight="1">
      <c r="A5" s="20" t="s">
        <v>59</v>
      </c>
      <c r="B5" s="21" t="s">
        <v>46</v>
      </c>
      <c r="C5" s="22" t="s">
        <v>10</v>
      </c>
      <c r="D5" s="22" t="s">
        <v>15</v>
      </c>
      <c r="E5" s="23">
        <v>1</v>
      </c>
    </row>
    <row r="6" spans="1:5" ht="20" customHeight="1">
      <c r="A6" s="20" t="s">
        <v>59</v>
      </c>
      <c r="B6" s="21" t="s">
        <v>46</v>
      </c>
      <c r="C6" s="22" t="s">
        <v>11</v>
      </c>
      <c r="D6" s="22" t="s">
        <v>14</v>
      </c>
      <c r="E6" s="23">
        <v>0</v>
      </c>
    </row>
    <row r="7" spans="1:5" ht="20" customHeight="1">
      <c r="A7" s="20" t="s">
        <v>59</v>
      </c>
      <c r="B7" s="21" t="s">
        <v>46</v>
      </c>
      <c r="C7" s="22" t="s">
        <v>11</v>
      </c>
      <c r="D7" s="22" t="s">
        <v>13</v>
      </c>
      <c r="E7" s="23">
        <v>0</v>
      </c>
    </row>
    <row r="8" spans="1:5" ht="20" customHeight="1">
      <c r="A8" s="20" t="s">
        <v>59</v>
      </c>
      <c r="B8" s="21" t="s">
        <v>46</v>
      </c>
      <c r="C8" s="22" t="s">
        <v>11</v>
      </c>
      <c r="D8" s="22" t="s">
        <v>15</v>
      </c>
      <c r="E8" s="23">
        <v>0</v>
      </c>
    </row>
    <row r="9" spans="1:5" ht="20" customHeight="1">
      <c r="A9" s="20" t="s">
        <v>59</v>
      </c>
      <c r="B9" s="21" t="s">
        <v>46</v>
      </c>
      <c r="C9" s="22" t="s">
        <v>12</v>
      </c>
      <c r="D9" s="22" t="s">
        <v>14</v>
      </c>
      <c r="E9" s="23">
        <v>2</v>
      </c>
    </row>
    <row r="10" spans="1:5" ht="20" customHeight="1">
      <c r="A10" s="20" t="s">
        <v>59</v>
      </c>
      <c r="B10" s="21" t="s">
        <v>46</v>
      </c>
      <c r="C10" s="22" t="s">
        <v>12</v>
      </c>
      <c r="D10" s="22" t="s">
        <v>13</v>
      </c>
      <c r="E10" s="23">
        <v>0</v>
      </c>
    </row>
    <row r="11" spans="1:5" ht="20" customHeight="1">
      <c r="A11" s="20" t="s">
        <v>59</v>
      </c>
      <c r="B11" s="21" t="s">
        <v>46</v>
      </c>
      <c r="C11" s="22" t="s">
        <v>12</v>
      </c>
      <c r="D11" s="22" t="s">
        <v>15</v>
      </c>
      <c r="E11" s="23">
        <v>1</v>
      </c>
    </row>
    <row r="12" spans="1:5" ht="20" customHeight="1">
      <c r="A12" s="20" t="s">
        <v>59</v>
      </c>
      <c r="B12" s="21" t="s">
        <v>46</v>
      </c>
      <c r="C12" s="22" t="s">
        <v>9</v>
      </c>
      <c r="D12" s="22" t="s">
        <v>14</v>
      </c>
      <c r="E12" s="23">
        <v>0</v>
      </c>
    </row>
    <row r="13" spans="1:5" ht="20" customHeight="1">
      <c r="A13" s="20" t="s">
        <v>59</v>
      </c>
      <c r="B13" s="21" t="s">
        <v>46</v>
      </c>
      <c r="C13" s="22" t="s">
        <v>9</v>
      </c>
      <c r="D13" s="22" t="s">
        <v>13</v>
      </c>
      <c r="E13" s="23">
        <v>1</v>
      </c>
    </row>
    <row r="14" spans="1:5" ht="20" customHeight="1">
      <c r="A14" s="20" t="s">
        <v>59</v>
      </c>
      <c r="B14" s="21" t="s">
        <v>46</v>
      </c>
      <c r="C14" s="22" t="s">
        <v>9</v>
      </c>
      <c r="D14" s="22" t="s">
        <v>15</v>
      </c>
      <c r="E14" s="23">
        <v>1</v>
      </c>
    </row>
    <row r="15" spans="1:5" ht="20" customHeight="1">
      <c r="A15" s="20" t="s">
        <v>59</v>
      </c>
      <c r="B15" s="21" t="s">
        <v>47</v>
      </c>
      <c r="C15" s="22" t="s">
        <v>10</v>
      </c>
      <c r="D15" s="22" t="s">
        <v>14</v>
      </c>
      <c r="E15" s="23">
        <v>3</v>
      </c>
    </row>
    <row r="16" spans="1:5" ht="20" customHeight="1">
      <c r="A16" s="20" t="s">
        <v>59</v>
      </c>
      <c r="B16" s="21" t="s">
        <v>47</v>
      </c>
      <c r="C16" s="22" t="s">
        <v>10</v>
      </c>
      <c r="D16" s="22" t="s">
        <v>13</v>
      </c>
      <c r="E16" s="23">
        <v>1</v>
      </c>
    </row>
    <row r="17" spans="1:5" ht="20" customHeight="1">
      <c r="A17" s="20" t="s">
        <v>59</v>
      </c>
      <c r="B17" s="21" t="s">
        <v>47</v>
      </c>
      <c r="C17" s="22" t="s">
        <v>10</v>
      </c>
      <c r="D17" s="22" t="s">
        <v>15</v>
      </c>
      <c r="E17" s="23">
        <v>0</v>
      </c>
    </row>
    <row r="18" spans="1:5" ht="20" customHeight="1">
      <c r="A18" s="20" t="s">
        <v>59</v>
      </c>
      <c r="B18" s="21" t="s">
        <v>47</v>
      </c>
      <c r="C18" s="22" t="s">
        <v>11</v>
      </c>
      <c r="D18" s="22" t="s">
        <v>14</v>
      </c>
      <c r="E18" s="23">
        <v>0</v>
      </c>
    </row>
    <row r="19" spans="1:5" ht="20" customHeight="1">
      <c r="A19" s="20" t="s">
        <v>59</v>
      </c>
      <c r="B19" s="21" t="s">
        <v>47</v>
      </c>
      <c r="C19" s="22" t="s">
        <v>11</v>
      </c>
      <c r="D19" s="22" t="s">
        <v>13</v>
      </c>
      <c r="E19" s="23">
        <v>0</v>
      </c>
    </row>
    <row r="20" spans="1:5" ht="20" customHeight="1">
      <c r="A20" s="20" t="s">
        <v>59</v>
      </c>
      <c r="B20" s="21" t="s">
        <v>47</v>
      </c>
      <c r="C20" s="22" t="s">
        <v>11</v>
      </c>
      <c r="D20" s="22" t="s">
        <v>15</v>
      </c>
      <c r="E20" s="23">
        <v>1</v>
      </c>
    </row>
    <row r="21" spans="1:5" ht="20" customHeight="1">
      <c r="A21" s="20" t="s">
        <v>59</v>
      </c>
      <c r="B21" s="21" t="s">
        <v>47</v>
      </c>
      <c r="C21" s="22" t="s">
        <v>12</v>
      </c>
      <c r="D21" s="22" t="s">
        <v>14</v>
      </c>
      <c r="E21" s="23">
        <v>1</v>
      </c>
    </row>
    <row r="22" spans="1:5" ht="20" customHeight="1">
      <c r="A22" s="20" t="s">
        <v>59</v>
      </c>
      <c r="B22" s="21" t="s">
        <v>47</v>
      </c>
      <c r="C22" s="22" t="s">
        <v>12</v>
      </c>
      <c r="D22" s="22" t="s">
        <v>13</v>
      </c>
      <c r="E22" s="23">
        <v>1</v>
      </c>
    </row>
    <row r="23" spans="1:5" ht="20" customHeight="1">
      <c r="A23" s="20" t="s">
        <v>59</v>
      </c>
      <c r="B23" s="21" t="s">
        <v>47</v>
      </c>
      <c r="C23" s="22" t="s">
        <v>12</v>
      </c>
      <c r="D23" s="22" t="s">
        <v>15</v>
      </c>
      <c r="E23" s="23">
        <v>0</v>
      </c>
    </row>
    <row r="24" spans="1:5" ht="20" customHeight="1">
      <c r="A24" s="20" t="s">
        <v>59</v>
      </c>
      <c r="B24" s="21" t="s">
        <v>47</v>
      </c>
      <c r="C24" s="22" t="s">
        <v>9</v>
      </c>
      <c r="D24" s="22" t="s">
        <v>14</v>
      </c>
      <c r="E24" s="23">
        <v>0</v>
      </c>
    </row>
    <row r="25" spans="1:5" ht="20" customHeight="1">
      <c r="A25" s="20" t="s">
        <v>59</v>
      </c>
      <c r="B25" s="21" t="s">
        <v>47</v>
      </c>
      <c r="C25" s="22" t="s">
        <v>9</v>
      </c>
      <c r="D25" s="22" t="s">
        <v>13</v>
      </c>
      <c r="E25" s="23">
        <v>0</v>
      </c>
    </row>
    <row r="26" spans="1:5" ht="20" customHeight="1">
      <c r="A26" s="20" t="s">
        <v>59</v>
      </c>
      <c r="B26" s="21" t="s">
        <v>47</v>
      </c>
      <c r="C26" s="22" t="s">
        <v>9</v>
      </c>
      <c r="D26" s="22" t="s">
        <v>15</v>
      </c>
      <c r="E26" s="23">
        <v>3</v>
      </c>
    </row>
    <row r="27" spans="1:5" ht="20" customHeight="1">
      <c r="A27" s="20" t="s">
        <v>59</v>
      </c>
      <c r="B27" s="21" t="s">
        <v>45</v>
      </c>
      <c r="C27" s="22" t="s">
        <v>10</v>
      </c>
      <c r="D27" s="22" t="s">
        <v>14</v>
      </c>
      <c r="E27" s="23">
        <v>0</v>
      </c>
    </row>
    <row r="28" spans="1:5" ht="20" customHeight="1">
      <c r="A28" s="20" t="s">
        <v>59</v>
      </c>
      <c r="B28" s="21" t="s">
        <v>45</v>
      </c>
      <c r="C28" s="22" t="s">
        <v>10</v>
      </c>
      <c r="D28" s="22" t="s">
        <v>13</v>
      </c>
      <c r="E28" s="23">
        <v>0</v>
      </c>
    </row>
    <row r="29" spans="1:5" ht="20" customHeight="1">
      <c r="A29" s="20" t="s">
        <v>59</v>
      </c>
      <c r="B29" s="21" t="s">
        <v>45</v>
      </c>
      <c r="C29" s="22" t="s">
        <v>10</v>
      </c>
      <c r="D29" s="22" t="s">
        <v>15</v>
      </c>
      <c r="E29" s="23">
        <v>0</v>
      </c>
    </row>
    <row r="30" spans="1:5" ht="20" customHeight="1">
      <c r="A30" s="20" t="s">
        <v>59</v>
      </c>
      <c r="B30" s="21" t="s">
        <v>45</v>
      </c>
      <c r="C30" s="22" t="s">
        <v>11</v>
      </c>
      <c r="D30" s="22" t="s">
        <v>14</v>
      </c>
      <c r="E30" s="23">
        <v>2</v>
      </c>
    </row>
    <row r="31" spans="1:5" ht="20" customHeight="1">
      <c r="A31" s="20" t="s">
        <v>59</v>
      </c>
      <c r="B31" s="21" t="s">
        <v>45</v>
      </c>
      <c r="C31" s="22" t="s">
        <v>11</v>
      </c>
      <c r="D31" s="22" t="s">
        <v>13</v>
      </c>
      <c r="E31" s="23">
        <v>0</v>
      </c>
    </row>
    <row r="32" spans="1:5" ht="20" customHeight="1">
      <c r="A32" s="20" t="s">
        <v>59</v>
      </c>
      <c r="B32" s="21" t="s">
        <v>45</v>
      </c>
      <c r="C32" s="22" t="s">
        <v>11</v>
      </c>
      <c r="D32" s="22" t="s">
        <v>15</v>
      </c>
      <c r="E32" s="23">
        <v>0</v>
      </c>
    </row>
    <row r="33" spans="1:5" ht="20" customHeight="1">
      <c r="A33" s="20" t="s">
        <v>59</v>
      </c>
      <c r="B33" s="21" t="s">
        <v>45</v>
      </c>
      <c r="C33" s="22" t="s">
        <v>12</v>
      </c>
      <c r="D33" s="22" t="s">
        <v>14</v>
      </c>
      <c r="E33" s="23">
        <v>2</v>
      </c>
    </row>
    <row r="34" spans="1:5" ht="20" customHeight="1">
      <c r="A34" s="20" t="s">
        <v>59</v>
      </c>
      <c r="B34" s="21" t="s">
        <v>45</v>
      </c>
      <c r="C34" s="22" t="s">
        <v>12</v>
      </c>
      <c r="D34" s="22" t="s">
        <v>13</v>
      </c>
      <c r="E34" s="23">
        <v>0</v>
      </c>
    </row>
    <row r="35" spans="1:5" ht="20" customHeight="1">
      <c r="A35" s="20" t="s">
        <v>59</v>
      </c>
      <c r="B35" s="21" t="s">
        <v>45</v>
      </c>
      <c r="C35" s="22" t="s">
        <v>12</v>
      </c>
      <c r="D35" s="22" t="s">
        <v>15</v>
      </c>
      <c r="E35" s="23">
        <v>1</v>
      </c>
    </row>
    <row r="36" spans="1:5" ht="20" customHeight="1">
      <c r="A36" s="20" t="s">
        <v>59</v>
      </c>
      <c r="B36" s="21" t="s">
        <v>45</v>
      </c>
      <c r="C36" s="22" t="s">
        <v>9</v>
      </c>
      <c r="D36" s="22" t="s">
        <v>14</v>
      </c>
      <c r="E36" s="23">
        <v>0</v>
      </c>
    </row>
    <row r="37" spans="1:5" ht="20" customHeight="1">
      <c r="A37" s="20" t="s">
        <v>59</v>
      </c>
      <c r="B37" s="21" t="s">
        <v>45</v>
      </c>
      <c r="C37" s="22" t="s">
        <v>9</v>
      </c>
      <c r="D37" s="22" t="s">
        <v>13</v>
      </c>
      <c r="E37" s="23">
        <v>0</v>
      </c>
    </row>
    <row r="38" spans="1:5" ht="20" customHeight="1">
      <c r="A38" s="20" t="s">
        <v>59</v>
      </c>
      <c r="B38" s="21" t="s">
        <v>45</v>
      </c>
      <c r="C38" s="22" t="s">
        <v>9</v>
      </c>
      <c r="D38" s="22" t="s">
        <v>15</v>
      </c>
      <c r="E38" s="23">
        <v>0</v>
      </c>
    </row>
    <row r="39" spans="1:5" ht="20" customHeight="1">
      <c r="A39" s="20" t="s">
        <v>60</v>
      </c>
      <c r="B39" s="21" t="s">
        <v>46</v>
      </c>
      <c r="C39" s="22" t="s">
        <v>10</v>
      </c>
      <c r="D39" s="22" t="s">
        <v>14</v>
      </c>
      <c r="E39" s="23">
        <v>0</v>
      </c>
    </row>
    <row r="40" spans="1:5" ht="20" customHeight="1">
      <c r="A40" s="20" t="s">
        <v>60</v>
      </c>
      <c r="B40" s="21" t="s">
        <v>46</v>
      </c>
      <c r="C40" s="22" t="s">
        <v>10</v>
      </c>
      <c r="D40" s="22" t="s">
        <v>13</v>
      </c>
      <c r="E40" s="23">
        <v>0</v>
      </c>
    </row>
    <row r="41" spans="1:5" ht="20" customHeight="1">
      <c r="A41" s="20" t="s">
        <v>60</v>
      </c>
      <c r="B41" s="21" t="s">
        <v>46</v>
      </c>
      <c r="C41" s="22" t="s">
        <v>10</v>
      </c>
      <c r="D41" s="22" t="s">
        <v>15</v>
      </c>
      <c r="E41" s="23">
        <v>0</v>
      </c>
    </row>
    <row r="42" spans="1:5" ht="20" customHeight="1">
      <c r="A42" s="20" t="s">
        <v>60</v>
      </c>
      <c r="B42" s="21" t="s">
        <v>46</v>
      </c>
      <c r="C42" s="22" t="s">
        <v>11</v>
      </c>
      <c r="D42" s="22" t="s">
        <v>14</v>
      </c>
      <c r="E42" s="23">
        <v>1</v>
      </c>
    </row>
    <row r="43" spans="1:5" ht="20" customHeight="1">
      <c r="A43" s="20" t="s">
        <v>60</v>
      </c>
      <c r="B43" s="21" t="s">
        <v>46</v>
      </c>
      <c r="C43" s="22" t="s">
        <v>11</v>
      </c>
      <c r="D43" s="22" t="s">
        <v>13</v>
      </c>
      <c r="E43" s="23">
        <v>0</v>
      </c>
    </row>
    <row r="44" spans="1:5" ht="20" customHeight="1">
      <c r="A44" s="20" t="s">
        <v>60</v>
      </c>
      <c r="B44" s="21" t="s">
        <v>46</v>
      </c>
      <c r="C44" s="22" t="s">
        <v>11</v>
      </c>
      <c r="D44" s="22" t="s">
        <v>15</v>
      </c>
      <c r="E44" s="23">
        <v>1</v>
      </c>
    </row>
    <row r="45" spans="1:5" ht="20" customHeight="1">
      <c r="A45" s="20" t="s">
        <v>60</v>
      </c>
      <c r="B45" s="21" t="s">
        <v>46</v>
      </c>
      <c r="C45" s="22" t="s">
        <v>12</v>
      </c>
      <c r="D45" s="22" t="s">
        <v>14</v>
      </c>
      <c r="E45" s="23">
        <v>1</v>
      </c>
    </row>
    <row r="46" spans="1:5" ht="20" customHeight="1">
      <c r="A46" s="20" t="s">
        <v>60</v>
      </c>
      <c r="B46" s="21" t="s">
        <v>46</v>
      </c>
      <c r="C46" s="22" t="s">
        <v>12</v>
      </c>
      <c r="D46" s="22" t="s">
        <v>13</v>
      </c>
      <c r="E46" s="23">
        <v>0</v>
      </c>
    </row>
    <row r="47" spans="1:5" ht="20" customHeight="1">
      <c r="A47" s="20" t="s">
        <v>60</v>
      </c>
      <c r="B47" s="21" t="s">
        <v>46</v>
      </c>
      <c r="C47" s="22" t="s">
        <v>12</v>
      </c>
      <c r="D47" s="22" t="s">
        <v>15</v>
      </c>
      <c r="E47" s="23">
        <v>0</v>
      </c>
    </row>
    <row r="48" spans="1:5" ht="20" customHeight="1">
      <c r="A48" s="20" t="s">
        <v>60</v>
      </c>
      <c r="B48" s="21" t="s">
        <v>46</v>
      </c>
      <c r="C48" s="22" t="s">
        <v>9</v>
      </c>
      <c r="D48" s="22" t="s">
        <v>14</v>
      </c>
      <c r="E48" s="23">
        <v>1</v>
      </c>
    </row>
    <row r="49" spans="1:5" ht="20" customHeight="1">
      <c r="A49" s="20" t="s">
        <v>60</v>
      </c>
      <c r="B49" s="21" t="s">
        <v>46</v>
      </c>
      <c r="C49" s="22" t="s">
        <v>9</v>
      </c>
      <c r="D49" s="22" t="s">
        <v>13</v>
      </c>
      <c r="E49" s="23">
        <v>1</v>
      </c>
    </row>
    <row r="50" spans="1:5" ht="20" customHeight="1">
      <c r="A50" s="20" t="s">
        <v>60</v>
      </c>
      <c r="B50" s="21" t="s">
        <v>46</v>
      </c>
      <c r="C50" s="22" t="s">
        <v>9</v>
      </c>
      <c r="D50" s="22" t="s">
        <v>15</v>
      </c>
      <c r="E50" s="23">
        <v>0</v>
      </c>
    </row>
    <row r="51" spans="1:5" ht="20" customHeight="1">
      <c r="A51" s="20" t="s">
        <v>60</v>
      </c>
      <c r="B51" s="21" t="s">
        <v>47</v>
      </c>
      <c r="C51" s="22" t="s">
        <v>10</v>
      </c>
      <c r="D51" s="22" t="s">
        <v>14</v>
      </c>
      <c r="E51" s="23">
        <v>0</v>
      </c>
    </row>
    <row r="52" spans="1:5" ht="20" customHeight="1">
      <c r="A52" s="20" t="s">
        <v>60</v>
      </c>
      <c r="B52" s="21" t="s">
        <v>47</v>
      </c>
      <c r="C52" s="22" t="s">
        <v>10</v>
      </c>
      <c r="D52" s="22" t="s">
        <v>13</v>
      </c>
      <c r="E52" s="23">
        <v>0</v>
      </c>
    </row>
    <row r="53" spans="1:5" ht="20" customHeight="1">
      <c r="A53" s="20" t="s">
        <v>60</v>
      </c>
      <c r="B53" s="21" t="s">
        <v>47</v>
      </c>
      <c r="C53" s="22" t="s">
        <v>10</v>
      </c>
      <c r="D53" s="22" t="s">
        <v>15</v>
      </c>
      <c r="E53" s="23">
        <v>0</v>
      </c>
    </row>
    <row r="54" spans="1:5" ht="20" customHeight="1">
      <c r="A54" s="20" t="s">
        <v>60</v>
      </c>
      <c r="B54" s="21" t="s">
        <v>47</v>
      </c>
      <c r="C54" s="22" t="s">
        <v>11</v>
      </c>
      <c r="D54" s="22" t="s">
        <v>14</v>
      </c>
      <c r="E54" s="23">
        <v>0</v>
      </c>
    </row>
    <row r="55" spans="1:5" ht="20" customHeight="1">
      <c r="A55" s="20" t="s">
        <v>60</v>
      </c>
      <c r="B55" s="21" t="s">
        <v>47</v>
      </c>
      <c r="C55" s="22" t="s">
        <v>11</v>
      </c>
      <c r="D55" s="22" t="s">
        <v>13</v>
      </c>
      <c r="E55" s="23">
        <v>1</v>
      </c>
    </row>
    <row r="56" spans="1:5" ht="20" customHeight="1">
      <c r="A56" s="20" t="s">
        <v>60</v>
      </c>
      <c r="B56" s="21" t="s">
        <v>47</v>
      </c>
      <c r="C56" s="22" t="s">
        <v>11</v>
      </c>
      <c r="D56" s="22" t="s">
        <v>15</v>
      </c>
      <c r="E56" s="23">
        <v>3</v>
      </c>
    </row>
    <row r="57" spans="1:5" ht="20" customHeight="1">
      <c r="A57" s="20" t="s">
        <v>60</v>
      </c>
      <c r="B57" s="21" t="s">
        <v>47</v>
      </c>
      <c r="C57" s="22" t="s">
        <v>12</v>
      </c>
      <c r="D57" s="22" t="s">
        <v>14</v>
      </c>
      <c r="E57" s="23">
        <v>1</v>
      </c>
    </row>
    <row r="58" spans="1:5" ht="20" customHeight="1">
      <c r="A58" s="20" t="s">
        <v>60</v>
      </c>
      <c r="B58" s="21" t="s">
        <v>47</v>
      </c>
      <c r="C58" s="22" t="s">
        <v>12</v>
      </c>
      <c r="D58" s="22" t="s">
        <v>13</v>
      </c>
      <c r="E58" s="23">
        <v>0</v>
      </c>
    </row>
    <row r="59" spans="1:5" ht="20" customHeight="1">
      <c r="A59" s="20" t="s">
        <v>60</v>
      </c>
      <c r="B59" s="21" t="s">
        <v>47</v>
      </c>
      <c r="C59" s="22" t="s">
        <v>12</v>
      </c>
      <c r="D59" s="22" t="s">
        <v>15</v>
      </c>
      <c r="E59" s="23">
        <v>1</v>
      </c>
    </row>
    <row r="60" spans="1:5" ht="20" customHeight="1">
      <c r="A60" s="20" t="s">
        <v>60</v>
      </c>
      <c r="B60" s="21" t="s">
        <v>47</v>
      </c>
      <c r="C60" s="22" t="s">
        <v>9</v>
      </c>
      <c r="D60" s="22" t="s">
        <v>14</v>
      </c>
      <c r="E60" s="23">
        <v>2</v>
      </c>
    </row>
    <row r="61" spans="1:5" ht="20" customHeight="1">
      <c r="A61" s="20" t="s">
        <v>60</v>
      </c>
      <c r="B61" s="21" t="s">
        <v>47</v>
      </c>
      <c r="C61" s="22" t="s">
        <v>9</v>
      </c>
      <c r="D61" s="22" t="s">
        <v>13</v>
      </c>
      <c r="E61" s="23">
        <v>0</v>
      </c>
    </row>
    <row r="62" spans="1:5" ht="20" customHeight="1">
      <c r="A62" s="20" t="s">
        <v>60</v>
      </c>
      <c r="B62" s="21" t="s">
        <v>47</v>
      </c>
      <c r="C62" s="22" t="s">
        <v>9</v>
      </c>
      <c r="D62" s="22" t="s">
        <v>15</v>
      </c>
      <c r="E62" s="23">
        <v>2</v>
      </c>
    </row>
    <row r="63" spans="1:5" ht="20" customHeight="1">
      <c r="A63" s="20" t="s">
        <v>60</v>
      </c>
      <c r="B63" s="21" t="s">
        <v>45</v>
      </c>
      <c r="C63" s="22" t="s">
        <v>10</v>
      </c>
      <c r="D63" s="22" t="s">
        <v>14</v>
      </c>
      <c r="E63" s="23">
        <v>0</v>
      </c>
    </row>
    <row r="64" spans="1:5" ht="20" customHeight="1">
      <c r="A64" s="20" t="s">
        <v>60</v>
      </c>
      <c r="B64" s="21" t="s">
        <v>45</v>
      </c>
      <c r="C64" s="22" t="s">
        <v>10</v>
      </c>
      <c r="D64" s="22" t="s">
        <v>13</v>
      </c>
      <c r="E64" s="23">
        <v>1</v>
      </c>
    </row>
    <row r="65" spans="1:5" ht="20" customHeight="1">
      <c r="A65" s="20" t="s">
        <v>60</v>
      </c>
      <c r="B65" s="21" t="s">
        <v>45</v>
      </c>
      <c r="C65" s="22" t="s">
        <v>10</v>
      </c>
      <c r="D65" s="22" t="s">
        <v>15</v>
      </c>
      <c r="E65" s="23">
        <v>1</v>
      </c>
    </row>
    <row r="66" spans="1:5" ht="20" customHeight="1">
      <c r="A66" s="20" t="s">
        <v>60</v>
      </c>
      <c r="B66" s="21" t="s">
        <v>45</v>
      </c>
      <c r="C66" s="22" t="s">
        <v>11</v>
      </c>
      <c r="D66" s="22" t="s">
        <v>14</v>
      </c>
      <c r="E66" s="23">
        <v>2</v>
      </c>
    </row>
    <row r="67" spans="1:5" ht="20" customHeight="1">
      <c r="A67" s="20" t="s">
        <v>60</v>
      </c>
      <c r="B67" s="21" t="s">
        <v>45</v>
      </c>
      <c r="C67" s="22" t="s">
        <v>11</v>
      </c>
      <c r="D67" s="22" t="s">
        <v>13</v>
      </c>
      <c r="E67" s="23">
        <v>1</v>
      </c>
    </row>
    <row r="68" spans="1:5" ht="20" customHeight="1">
      <c r="A68" s="20" t="s">
        <v>60</v>
      </c>
      <c r="B68" s="21" t="s">
        <v>45</v>
      </c>
      <c r="C68" s="22" t="s">
        <v>11</v>
      </c>
      <c r="D68" s="22" t="s">
        <v>15</v>
      </c>
      <c r="E68" s="23">
        <v>0</v>
      </c>
    </row>
    <row r="69" spans="1:5" ht="20" customHeight="1">
      <c r="A69" s="20" t="s">
        <v>60</v>
      </c>
      <c r="B69" s="21" t="s">
        <v>45</v>
      </c>
      <c r="C69" s="22" t="s">
        <v>12</v>
      </c>
      <c r="D69" s="22" t="s">
        <v>14</v>
      </c>
      <c r="E69" s="23">
        <v>0</v>
      </c>
    </row>
    <row r="70" spans="1:5" ht="20" customHeight="1">
      <c r="A70" s="20" t="s">
        <v>60</v>
      </c>
      <c r="B70" s="21" t="s">
        <v>45</v>
      </c>
      <c r="C70" s="22" t="s">
        <v>12</v>
      </c>
      <c r="D70" s="22" t="s">
        <v>13</v>
      </c>
      <c r="E70" s="23">
        <v>1</v>
      </c>
    </row>
    <row r="71" spans="1:5" ht="20" customHeight="1">
      <c r="A71" s="20" t="s">
        <v>60</v>
      </c>
      <c r="B71" s="21" t="s">
        <v>45</v>
      </c>
      <c r="C71" s="22" t="s">
        <v>12</v>
      </c>
      <c r="D71" s="22" t="s">
        <v>15</v>
      </c>
      <c r="E71" s="23">
        <v>0</v>
      </c>
    </row>
    <row r="72" spans="1:5" ht="20" customHeight="1">
      <c r="A72" s="20" t="s">
        <v>60</v>
      </c>
      <c r="B72" s="21" t="s">
        <v>45</v>
      </c>
      <c r="C72" s="22" t="s">
        <v>9</v>
      </c>
      <c r="D72" s="22" t="s">
        <v>14</v>
      </c>
      <c r="E72" s="23">
        <v>1</v>
      </c>
    </row>
    <row r="73" spans="1:5" ht="20" customHeight="1">
      <c r="A73" s="20" t="s">
        <v>60</v>
      </c>
      <c r="B73" s="21" t="s">
        <v>45</v>
      </c>
      <c r="C73" s="22" t="s">
        <v>9</v>
      </c>
      <c r="D73" s="22" t="s">
        <v>13</v>
      </c>
      <c r="E73" s="23">
        <v>0</v>
      </c>
    </row>
    <row r="74" spans="1:5" ht="20" customHeight="1">
      <c r="A74" s="20" t="s">
        <v>60</v>
      </c>
      <c r="B74" s="21" t="s">
        <v>45</v>
      </c>
      <c r="C74" s="22" t="s">
        <v>9</v>
      </c>
      <c r="D74" s="22" t="s">
        <v>15</v>
      </c>
      <c r="E74" s="23">
        <v>0</v>
      </c>
    </row>
    <row r="75" spans="1:5" ht="20" customHeight="1">
      <c r="A75" s="20" t="s">
        <v>61</v>
      </c>
      <c r="B75" s="21" t="s">
        <v>46</v>
      </c>
      <c r="C75" s="22" t="s">
        <v>10</v>
      </c>
      <c r="D75" s="22" t="s">
        <v>14</v>
      </c>
      <c r="E75" s="23">
        <v>1</v>
      </c>
    </row>
    <row r="76" spans="1:5" ht="20" customHeight="1">
      <c r="A76" s="20" t="s">
        <v>61</v>
      </c>
      <c r="B76" s="21" t="s">
        <v>46</v>
      </c>
      <c r="C76" s="22" t="s">
        <v>10</v>
      </c>
      <c r="D76" s="22" t="s">
        <v>13</v>
      </c>
      <c r="E76" s="23">
        <v>2</v>
      </c>
    </row>
    <row r="77" spans="1:5" ht="20" customHeight="1">
      <c r="A77" s="20" t="s">
        <v>61</v>
      </c>
      <c r="B77" s="21" t="s">
        <v>46</v>
      </c>
      <c r="C77" s="22" t="s">
        <v>10</v>
      </c>
      <c r="D77" s="22" t="s">
        <v>15</v>
      </c>
      <c r="E77" s="23">
        <v>0</v>
      </c>
    </row>
    <row r="78" spans="1:5" ht="20" customHeight="1">
      <c r="A78" s="20" t="s">
        <v>61</v>
      </c>
      <c r="B78" s="21" t="s">
        <v>46</v>
      </c>
      <c r="C78" s="22" t="s">
        <v>11</v>
      </c>
      <c r="D78" s="22" t="s">
        <v>14</v>
      </c>
      <c r="E78" s="23">
        <v>1</v>
      </c>
    </row>
    <row r="79" spans="1:5" ht="20" customHeight="1">
      <c r="A79" s="20" t="s">
        <v>61</v>
      </c>
      <c r="B79" s="21" t="s">
        <v>46</v>
      </c>
      <c r="C79" s="22" t="s">
        <v>11</v>
      </c>
      <c r="D79" s="22" t="s">
        <v>13</v>
      </c>
      <c r="E79" s="23">
        <v>0</v>
      </c>
    </row>
    <row r="80" spans="1:5" ht="20" customHeight="1">
      <c r="A80" s="20" t="s">
        <v>61</v>
      </c>
      <c r="B80" s="21" t="s">
        <v>46</v>
      </c>
      <c r="C80" s="22" t="s">
        <v>11</v>
      </c>
      <c r="D80" s="22" t="s">
        <v>15</v>
      </c>
      <c r="E80" s="23">
        <v>0</v>
      </c>
    </row>
    <row r="81" spans="1:5" ht="20" customHeight="1">
      <c r="A81" s="20" t="s">
        <v>61</v>
      </c>
      <c r="B81" s="21" t="s">
        <v>46</v>
      </c>
      <c r="C81" s="22" t="s">
        <v>12</v>
      </c>
      <c r="D81" s="22" t="s">
        <v>14</v>
      </c>
      <c r="E81" s="23">
        <v>0</v>
      </c>
    </row>
    <row r="82" spans="1:5" ht="20" customHeight="1">
      <c r="A82" s="20" t="s">
        <v>61</v>
      </c>
      <c r="B82" s="21" t="s">
        <v>46</v>
      </c>
      <c r="C82" s="22" t="s">
        <v>12</v>
      </c>
      <c r="D82" s="22" t="s">
        <v>13</v>
      </c>
      <c r="E82" s="23">
        <v>0</v>
      </c>
    </row>
    <row r="83" spans="1:5" ht="20" customHeight="1">
      <c r="A83" s="20" t="s">
        <v>61</v>
      </c>
      <c r="B83" s="21" t="s">
        <v>46</v>
      </c>
      <c r="C83" s="22" t="s">
        <v>12</v>
      </c>
      <c r="D83" s="22" t="s">
        <v>15</v>
      </c>
      <c r="E83" s="23">
        <v>0</v>
      </c>
    </row>
    <row r="84" spans="1:5" ht="20" customHeight="1">
      <c r="A84" s="20" t="s">
        <v>61</v>
      </c>
      <c r="B84" s="21" t="s">
        <v>46</v>
      </c>
      <c r="C84" s="22" t="s">
        <v>9</v>
      </c>
      <c r="D84" s="22" t="s">
        <v>14</v>
      </c>
      <c r="E84" s="23">
        <v>0</v>
      </c>
    </row>
    <row r="85" spans="1:5" ht="20" customHeight="1">
      <c r="A85" s="20" t="s">
        <v>61</v>
      </c>
      <c r="B85" s="21" t="s">
        <v>46</v>
      </c>
      <c r="C85" s="22" t="s">
        <v>9</v>
      </c>
      <c r="D85" s="22" t="s">
        <v>13</v>
      </c>
      <c r="E85" s="23">
        <v>0</v>
      </c>
    </row>
    <row r="86" spans="1:5" ht="20" customHeight="1">
      <c r="A86" s="20" t="s">
        <v>61</v>
      </c>
      <c r="B86" s="21" t="s">
        <v>46</v>
      </c>
      <c r="C86" s="22" t="s">
        <v>9</v>
      </c>
      <c r="D86" s="22" t="s">
        <v>15</v>
      </c>
      <c r="E86" s="23">
        <v>2</v>
      </c>
    </row>
    <row r="87" spans="1:5" ht="20" customHeight="1">
      <c r="A87" s="20" t="s">
        <v>61</v>
      </c>
      <c r="B87" s="21" t="s">
        <v>47</v>
      </c>
      <c r="C87" s="22" t="s">
        <v>10</v>
      </c>
      <c r="D87" s="22" t="s">
        <v>14</v>
      </c>
      <c r="E87" s="23">
        <v>0</v>
      </c>
    </row>
    <row r="88" spans="1:5" ht="20" customHeight="1">
      <c r="A88" s="20" t="s">
        <v>61</v>
      </c>
      <c r="B88" s="21" t="s">
        <v>47</v>
      </c>
      <c r="C88" s="22" t="s">
        <v>10</v>
      </c>
      <c r="D88" s="22" t="s">
        <v>13</v>
      </c>
      <c r="E88" s="23">
        <v>0</v>
      </c>
    </row>
    <row r="89" spans="1:5" ht="20" customHeight="1">
      <c r="A89" s="20" t="s">
        <v>61</v>
      </c>
      <c r="B89" s="21" t="s">
        <v>47</v>
      </c>
      <c r="C89" s="22" t="s">
        <v>10</v>
      </c>
      <c r="D89" s="22" t="s">
        <v>15</v>
      </c>
      <c r="E89" s="23">
        <v>3</v>
      </c>
    </row>
    <row r="90" spans="1:5" ht="20" customHeight="1">
      <c r="A90" s="20" t="s">
        <v>61</v>
      </c>
      <c r="B90" s="21" t="s">
        <v>47</v>
      </c>
      <c r="C90" s="22" t="s">
        <v>11</v>
      </c>
      <c r="D90" s="22" t="s">
        <v>14</v>
      </c>
      <c r="E90" s="23">
        <v>0</v>
      </c>
    </row>
    <row r="91" spans="1:5" ht="20" customHeight="1">
      <c r="A91" s="20" t="s">
        <v>61</v>
      </c>
      <c r="B91" s="21" t="s">
        <v>47</v>
      </c>
      <c r="C91" s="22" t="s">
        <v>11</v>
      </c>
      <c r="D91" s="22" t="s">
        <v>13</v>
      </c>
      <c r="E91" s="23">
        <v>1</v>
      </c>
    </row>
    <row r="92" spans="1:5" ht="20" customHeight="1">
      <c r="A92" s="20" t="s">
        <v>61</v>
      </c>
      <c r="B92" s="21" t="s">
        <v>47</v>
      </c>
      <c r="C92" s="22" t="s">
        <v>11</v>
      </c>
      <c r="D92" s="22" t="s">
        <v>15</v>
      </c>
      <c r="E92" s="23">
        <v>0</v>
      </c>
    </row>
    <row r="93" spans="1:5" ht="20" customHeight="1">
      <c r="A93" s="20" t="s">
        <v>61</v>
      </c>
      <c r="B93" s="21" t="s">
        <v>47</v>
      </c>
      <c r="C93" s="22" t="s">
        <v>12</v>
      </c>
      <c r="D93" s="22" t="s">
        <v>14</v>
      </c>
      <c r="E93" s="23">
        <v>0</v>
      </c>
    </row>
    <row r="94" spans="1:5" ht="20" customHeight="1">
      <c r="A94" s="20" t="s">
        <v>61</v>
      </c>
      <c r="B94" s="21" t="s">
        <v>47</v>
      </c>
      <c r="C94" s="22" t="s">
        <v>12</v>
      </c>
      <c r="D94" s="22" t="s">
        <v>13</v>
      </c>
      <c r="E94" s="23">
        <v>0</v>
      </c>
    </row>
    <row r="95" spans="1:5" ht="20" customHeight="1">
      <c r="A95" s="20" t="s">
        <v>61</v>
      </c>
      <c r="B95" s="21" t="s">
        <v>47</v>
      </c>
      <c r="C95" s="22" t="s">
        <v>12</v>
      </c>
      <c r="D95" s="22" t="s">
        <v>15</v>
      </c>
      <c r="E95" s="23">
        <v>1</v>
      </c>
    </row>
    <row r="96" spans="1:5" ht="20" customHeight="1">
      <c r="A96" s="20" t="s">
        <v>61</v>
      </c>
      <c r="B96" s="21" t="s">
        <v>47</v>
      </c>
      <c r="C96" s="22" t="s">
        <v>9</v>
      </c>
      <c r="D96" s="22" t="s">
        <v>14</v>
      </c>
      <c r="E96" s="23">
        <v>0</v>
      </c>
    </row>
    <row r="97" spans="1:5" ht="20" customHeight="1">
      <c r="A97" s="20" t="s">
        <v>61</v>
      </c>
      <c r="B97" s="21" t="s">
        <v>47</v>
      </c>
      <c r="C97" s="22" t="s">
        <v>9</v>
      </c>
      <c r="D97" s="22" t="s">
        <v>13</v>
      </c>
      <c r="E97" s="23">
        <v>1</v>
      </c>
    </row>
    <row r="98" spans="1:5" ht="20" customHeight="1">
      <c r="A98" s="20" t="s">
        <v>61</v>
      </c>
      <c r="B98" s="21" t="s">
        <v>47</v>
      </c>
      <c r="C98" s="22" t="s">
        <v>9</v>
      </c>
      <c r="D98" s="22" t="s">
        <v>15</v>
      </c>
      <c r="E98" s="23">
        <v>0</v>
      </c>
    </row>
    <row r="99" spans="1:5" ht="20" customHeight="1">
      <c r="A99" s="20" t="s">
        <v>61</v>
      </c>
      <c r="B99" s="21" t="s">
        <v>45</v>
      </c>
      <c r="C99" s="22" t="s">
        <v>10</v>
      </c>
      <c r="D99" s="22" t="s">
        <v>14</v>
      </c>
      <c r="E99" s="23">
        <v>1</v>
      </c>
    </row>
    <row r="100" spans="1:5" ht="20" customHeight="1">
      <c r="A100" s="20" t="s">
        <v>61</v>
      </c>
      <c r="B100" s="21" t="s">
        <v>45</v>
      </c>
      <c r="C100" s="22" t="s">
        <v>10</v>
      </c>
      <c r="D100" s="22" t="s">
        <v>13</v>
      </c>
      <c r="E100" s="23">
        <v>0</v>
      </c>
    </row>
    <row r="101" spans="1:5" ht="20" customHeight="1">
      <c r="A101" s="20" t="s">
        <v>61</v>
      </c>
      <c r="B101" s="21" t="s">
        <v>45</v>
      </c>
      <c r="C101" s="22" t="s">
        <v>10</v>
      </c>
      <c r="D101" s="22" t="s">
        <v>15</v>
      </c>
      <c r="E101" s="23">
        <v>1</v>
      </c>
    </row>
    <row r="102" spans="1:5" ht="20" customHeight="1">
      <c r="A102" s="20" t="s">
        <v>61</v>
      </c>
      <c r="B102" s="21" t="s">
        <v>45</v>
      </c>
      <c r="C102" s="22" t="s">
        <v>11</v>
      </c>
      <c r="D102" s="22" t="s">
        <v>14</v>
      </c>
      <c r="E102" s="23">
        <v>0</v>
      </c>
    </row>
    <row r="103" spans="1:5" ht="20" customHeight="1">
      <c r="A103" s="20" t="s">
        <v>61</v>
      </c>
      <c r="B103" s="21" t="s">
        <v>45</v>
      </c>
      <c r="C103" s="22" t="s">
        <v>11</v>
      </c>
      <c r="D103" s="22" t="s">
        <v>13</v>
      </c>
      <c r="E103" s="23">
        <v>1</v>
      </c>
    </row>
    <row r="104" spans="1:5" ht="20" customHeight="1">
      <c r="A104" s="20" t="s">
        <v>61</v>
      </c>
      <c r="B104" s="21" t="s">
        <v>45</v>
      </c>
      <c r="C104" s="22" t="s">
        <v>11</v>
      </c>
      <c r="D104" s="22" t="s">
        <v>15</v>
      </c>
      <c r="E104" s="23">
        <v>1</v>
      </c>
    </row>
    <row r="105" spans="1:5" ht="20" customHeight="1">
      <c r="A105" s="20" t="s">
        <v>61</v>
      </c>
      <c r="B105" s="21" t="s">
        <v>45</v>
      </c>
      <c r="C105" s="22" t="s">
        <v>12</v>
      </c>
      <c r="D105" s="22" t="s">
        <v>14</v>
      </c>
      <c r="E105" s="23">
        <v>1</v>
      </c>
    </row>
    <row r="106" spans="1:5" ht="20" customHeight="1">
      <c r="A106" s="20" t="s">
        <v>61</v>
      </c>
      <c r="B106" s="21" t="s">
        <v>45</v>
      </c>
      <c r="C106" s="22" t="s">
        <v>12</v>
      </c>
      <c r="D106" s="22" t="s">
        <v>13</v>
      </c>
      <c r="E106" s="23">
        <v>1</v>
      </c>
    </row>
    <row r="107" spans="1:5" ht="20" customHeight="1">
      <c r="A107" s="20" t="s">
        <v>61</v>
      </c>
      <c r="B107" s="21" t="s">
        <v>45</v>
      </c>
      <c r="C107" s="22" t="s">
        <v>12</v>
      </c>
      <c r="D107" s="22" t="s">
        <v>15</v>
      </c>
      <c r="E107" s="23">
        <v>1</v>
      </c>
    </row>
    <row r="108" spans="1:5" ht="20" customHeight="1">
      <c r="A108" s="20" t="s">
        <v>61</v>
      </c>
      <c r="B108" s="21" t="s">
        <v>45</v>
      </c>
      <c r="C108" s="22" t="s">
        <v>9</v>
      </c>
      <c r="D108" s="22" t="s">
        <v>14</v>
      </c>
      <c r="E108" s="23">
        <v>1</v>
      </c>
    </row>
    <row r="109" spans="1:5" ht="20" customHeight="1">
      <c r="A109" s="20" t="s">
        <v>61</v>
      </c>
      <c r="B109" s="21" t="s">
        <v>45</v>
      </c>
      <c r="C109" s="22" t="s">
        <v>9</v>
      </c>
      <c r="D109" s="22" t="s">
        <v>13</v>
      </c>
      <c r="E109" s="23">
        <v>0</v>
      </c>
    </row>
    <row r="110" spans="1:5" ht="20" customHeight="1">
      <c r="A110" s="20" t="s">
        <v>61</v>
      </c>
      <c r="B110" s="21" t="s">
        <v>45</v>
      </c>
      <c r="C110" s="22" t="s">
        <v>9</v>
      </c>
      <c r="D110" s="22" t="s">
        <v>15</v>
      </c>
      <c r="E110" s="23">
        <v>2</v>
      </c>
    </row>
    <row r="111" spans="1:5" ht="20" customHeight="1">
      <c r="A111" s="24">
        <v>50</v>
      </c>
      <c r="B111" s="21" t="s">
        <v>46</v>
      </c>
      <c r="C111" s="22" t="s">
        <v>10</v>
      </c>
      <c r="D111" s="22" t="s">
        <v>14</v>
      </c>
      <c r="E111" s="23">
        <v>1</v>
      </c>
    </row>
    <row r="112" spans="1:5" ht="20" customHeight="1">
      <c r="A112" s="24">
        <v>50</v>
      </c>
      <c r="B112" s="21" t="s">
        <v>46</v>
      </c>
      <c r="C112" s="22" t="s">
        <v>10</v>
      </c>
      <c r="D112" s="22" t="s">
        <v>13</v>
      </c>
      <c r="E112" s="23">
        <v>0</v>
      </c>
    </row>
    <row r="113" spans="1:5" ht="20" customHeight="1">
      <c r="A113" s="24">
        <v>50</v>
      </c>
      <c r="B113" s="21" t="s">
        <v>46</v>
      </c>
      <c r="C113" s="22" t="s">
        <v>10</v>
      </c>
      <c r="D113" s="22" t="s">
        <v>15</v>
      </c>
      <c r="E113" s="23">
        <v>1</v>
      </c>
    </row>
    <row r="114" spans="1:5" ht="20" customHeight="1">
      <c r="A114" s="24">
        <v>50</v>
      </c>
      <c r="B114" s="21" t="s">
        <v>46</v>
      </c>
      <c r="C114" s="22" t="s">
        <v>11</v>
      </c>
      <c r="D114" s="22" t="s">
        <v>14</v>
      </c>
      <c r="E114" s="23">
        <v>0</v>
      </c>
    </row>
    <row r="115" spans="1:5" ht="20" customHeight="1">
      <c r="A115" s="24">
        <v>50</v>
      </c>
      <c r="B115" s="21" t="s">
        <v>46</v>
      </c>
      <c r="C115" s="22" t="s">
        <v>11</v>
      </c>
      <c r="D115" s="22" t="s">
        <v>13</v>
      </c>
      <c r="E115" s="23">
        <v>3</v>
      </c>
    </row>
    <row r="116" spans="1:5" ht="20" customHeight="1">
      <c r="A116" s="24">
        <v>50</v>
      </c>
      <c r="B116" s="21" t="s">
        <v>46</v>
      </c>
      <c r="C116" s="22" t="s">
        <v>11</v>
      </c>
      <c r="D116" s="22" t="s">
        <v>15</v>
      </c>
      <c r="E116" s="23">
        <v>1</v>
      </c>
    </row>
    <row r="117" spans="1:5" ht="20" customHeight="1">
      <c r="A117" s="24">
        <v>50</v>
      </c>
      <c r="B117" s="21" t="s">
        <v>46</v>
      </c>
      <c r="C117" s="22" t="s">
        <v>12</v>
      </c>
      <c r="D117" s="22" t="s">
        <v>14</v>
      </c>
      <c r="E117" s="23">
        <v>2</v>
      </c>
    </row>
    <row r="118" spans="1:5" ht="20" customHeight="1">
      <c r="A118" s="24">
        <v>50</v>
      </c>
      <c r="B118" s="21" t="s">
        <v>46</v>
      </c>
      <c r="C118" s="22" t="s">
        <v>12</v>
      </c>
      <c r="D118" s="22" t="s">
        <v>13</v>
      </c>
      <c r="E118" s="23">
        <v>1</v>
      </c>
    </row>
    <row r="119" spans="1:5" ht="20" customHeight="1">
      <c r="A119" s="24">
        <v>50</v>
      </c>
      <c r="B119" s="21" t="s">
        <v>46</v>
      </c>
      <c r="C119" s="22" t="s">
        <v>12</v>
      </c>
      <c r="D119" s="22" t="s">
        <v>15</v>
      </c>
      <c r="E119" s="23">
        <v>2</v>
      </c>
    </row>
    <row r="120" spans="1:5" ht="20" customHeight="1">
      <c r="A120" s="24">
        <v>50</v>
      </c>
      <c r="B120" s="21" t="s">
        <v>46</v>
      </c>
      <c r="C120" s="22" t="s">
        <v>9</v>
      </c>
      <c r="D120" s="22" t="s">
        <v>14</v>
      </c>
      <c r="E120" s="23">
        <v>2</v>
      </c>
    </row>
    <row r="121" spans="1:5" ht="20" customHeight="1">
      <c r="A121" s="24">
        <v>50</v>
      </c>
      <c r="B121" s="21" t="s">
        <v>46</v>
      </c>
      <c r="C121" s="22" t="s">
        <v>9</v>
      </c>
      <c r="D121" s="22" t="s">
        <v>13</v>
      </c>
      <c r="E121" s="23">
        <v>0</v>
      </c>
    </row>
    <row r="122" spans="1:5" ht="20" customHeight="1">
      <c r="A122" s="24">
        <v>50</v>
      </c>
      <c r="B122" s="21" t="s">
        <v>46</v>
      </c>
      <c r="C122" s="22" t="s">
        <v>9</v>
      </c>
      <c r="D122" s="22" t="s">
        <v>15</v>
      </c>
      <c r="E122" s="23">
        <v>1</v>
      </c>
    </row>
    <row r="123" spans="1:5" ht="20" customHeight="1">
      <c r="A123" s="24">
        <v>50</v>
      </c>
      <c r="B123" s="21" t="s">
        <v>47</v>
      </c>
      <c r="C123" s="22" t="s">
        <v>10</v>
      </c>
      <c r="D123" s="22" t="s">
        <v>14</v>
      </c>
      <c r="E123" s="23">
        <v>0</v>
      </c>
    </row>
    <row r="124" spans="1:5" ht="20" customHeight="1">
      <c r="A124" s="24">
        <v>50</v>
      </c>
      <c r="B124" s="21" t="s">
        <v>47</v>
      </c>
      <c r="C124" s="22" t="s">
        <v>10</v>
      </c>
      <c r="D124" s="22" t="s">
        <v>13</v>
      </c>
      <c r="E124" s="23">
        <v>0</v>
      </c>
    </row>
    <row r="125" spans="1:5" ht="20" customHeight="1">
      <c r="A125" s="24">
        <v>50</v>
      </c>
      <c r="B125" s="21" t="s">
        <v>47</v>
      </c>
      <c r="C125" s="22" t="s">
        <v>10</v>
      </c>
      <c r="D125" s="22" t="s">
        <v>15</v>
      </c>
      <c r="E125" s="23">
        <v>1</v>
      </c>
    </row>
    <row r="126" spans="1:5" ht="20" customHeight="1">
      <c r="A126" s="24">
        <v>50</v>
      </c>
      <c r="B126" s="21" t="s">
        <v>47</v>
      </c>
      <c r="C126" s="22" t="s">
        <v>11</v>
      </c>
      <c r="D126" s="22" t="s">
        <v>14</v>
      </c>
      <c r="E126" s="23">
        <v>1</v>
      </c>
    </row>
    <row r="127" spans="1:5" ht="20" customHeight="1">
      <c r="A127" s="24">
        <v>50</v>
      </c>
      <c r="B127" s="21" t="s">
        <v>47</v>
      </c>
      <c r="C127" s="22" t="s">
        <v>11</v>
      </c>
      <c r="D127" s="22" t="s">
        <v>13</v>
      </c>
      <c r="E127" s="23">
        <v>0</v>
      </c>
    </row>
    <row r="128" spans="1:5" ht="20" customHeight="1">
      <c r="A128" s="24">
        <v>50</v>
      </c>
      <c r="B128" s="21" t="s">
        <v>47</v>
      </c>
      <c r="C128" s="22" t="s">
        <v>11</v>
      </c>
      <c r="D128" s="22" t="s">
        <v>15</v>
      </c>
      <c r="E128" s="23">
        <v>0</v>
      </c>
    </row>
    <row r="129" spans="1:5" ht="20" customHeight="1">
      <c r="A129" s="24">
        <v>50</v>
      </c>
      <c r="B129" s="21" t="s">
        <v>47</v>
      </c>
      <c r="C129" s="22" t="s">
        <v>12</v>
      </c>
      <c r="D129" s="22" t="s">
        <v>14</v>
      </c>
      <c r="E129" s="23">
        <v>0</v>
      </c>
    </row>
    <row r="130" spans="1:5" ht="20" customHeight="1">
      <c r="A130" s="24">
        <v>50</v>
      </c>
      <c r="B130" s="21" t="s">
        <v>47</v>
      </c>
      <c r="C130" s="22" t="s">
        <v>12</v>
      </c>
      <c r="D130" s="22" t="s">
        <v>13</v>
      </c>
      <c r="E130" s="23">
        <v>0</v>
      </c>
    </row>
    <row r="131" spans="1:5" ht="20" customHeight="1">
      <c r="A131" s="24">
        <v>50</v>
      </c>
      <c r="B131" s="21" t="s">
        <v>47</v>
      </c>
      <c r="C131" s="22" t="s">
        <v>12</v>
      </c>
      <c r="D131" s="22" t="s">
        <v>15</v>
      </c>
      <c r="E131" s="23">
        <v>1</v>
      </c>
    </row>
    <row r="132" spans="1:5" ht="20" customHeight="1">
      <c r="A132" s="24">
        <v>50</v>
      </c>
      <c r="B132" s="21" t="s">
        <v>47</v>
      </c>
      <c r="C132" s="22" t="s">
        <v>9</v>
      </c>
      <c r="D132" s="22" t="s">
        <v>14</v>
      </c>
      <c r="E132" s="23">
        <v>0</v>
      </c>
    </row>
    <row r="133" spans="1:5" ht="20" customHeight="1">
      <c r="A133" s="24">
        <v>50</v>
      </c>
      <c r="B133" s="21" t="s">
        <v>47</v>
      </c>
      <c r="C133" s="22" t="s">
        <v>9</v>
      </c>
      <c r="D133" s="22" t="s">
        <v>13</v>
      </c>
      <c r="E133" s="23">
        <v>0</v>
      </c>
    </row>
    <row r="134" spans="1:5" ht="20" customHeight="1">
      <c r="A134" s="24">
        <v>50</v>
      </c>
      <c r="B134" s="21" t="s">
        <v>47</v>
      </c>
      <c r="C134" s="22" t="s">
        <v>9</v>
      </c>
      <c r="D134" s="22" t="s">
        <v>15</v>
      </c>
      <c r="E134" s="23">
        <v>3</v>
      </c>
    </row>
    <row r="135" spans="1:5" ht="20" customHeight="1">
      <c r="A135" s="24">
        <v>50</v>
      </c>
      <c r="B135" s="21" t="s">
        <v>45</v>
      </c>
      <c r="C135" s="22" t="s">
        <v>10</v>
      </c>
      <c r="D135" s="22" t="s">
        <v>14</v>
      </c>
      <c r="E135" s="23">
        <v>1</v>
      </c>
    </row>
    <row r="136" spans="1:5" ht="20" customHeight="1">
      <c r="A136" s="24">
        <v>50</v>
      </c>
      <c r="B136" s="21" t="s">
        <v>45</v>
      </c>
      <c r="C136" s="22" t="s">
        <v>10</v>
      </c>
      <c r="D136" s="22" t="s">
        <v>13</v>
      </c>
      <c r="E136" s="23">
        <v>2</v>
      </c>
    </row>
    <row r="137" spans="1:5" ht="20" customHeight="1">
      <c r="A137" s="24">
        <v>50</v>
      </c>
      <c r="B137" s="21" t="s">
        <v>45</v>
      </c>
      <c r="C137" s="22" t="s">
        <v>10</v>
      </c>
      <c r="D137" s="22" t="s">
        <v>15</v>
      </c>
      <c r="E137" s="23">
        <v>0</v>
      </c>
    </row>
    <row r="138" spans="1:5" ht="20" customHeight="1">
      <c r="A138" s="24">
        <v>50</v>
      </c>
      <c r="B138" s="21" t="s">
        <v>45</v>
      </c>
      <c r="C138" s="22" t="s">
        <v>11</v>
      </c>
      <c r="D138" s="22" t="s">
        <v>14</v>
      </c>
      <c r="E138" s="23">
        <v>1</v>
      </c>
    </row>
    <row r="139" spans="1:5" ht="20" customHeight="1">
      <c r="A139" s="24">
        <v>50</v>
      </c>
      <c r="B139" s="21" t="s">
        <v>45</v>
      </c>
      <c r="C139" s="22" t="s">
        <v>11</v>
      </c>
      <c r="D139" s="22" t="s">
        <v>13</v>
      </c>
      <c r="E139" s="23">
        <v>0</v>
      </c>
    </row>
    <row r="140" spans="1:5" ht="20" customHeight="1">
      <c r="A140" s="24">
        <v>50</v>
      </c>
      <c r="B140" s="21" t="s">
        <v>45</v>
      </c>
      <c r="C140" s="22" t="s">
        <v>11</v>
      </c>
      <c r="D140" s="22" t="s">
        <v>15</v>
      </c>
      <c r="E140" s="23">
        <v>1</v>
      </c>
    </row>
    <row r="141" spans="1:5" ht="20" customHeight="1">
      <c r="A141" s="24">
        <v>50</v>
      </c>
      <c r="B141" s="21" t="s">
        <v>45</v>
      </c>
      <c r="C141" s="22" t="s">
        <v>12</v>
      </c>
      <c r="D141" s="22" t="s">
        <v>14</v>
      </c>
      <c r="E141" s="23">
        <v>1</v>
      </c>
    </row>
    <row r="142" spans="1:5" ht="20" customHeight="1">
      <c r="A142" s="24">
        <v>50</v>
      </c>
      <c r="B142" s="21" t="s">
        <v>45</v>
      </c>
      <c r="C142" s="22" t="s">
        <v>12</v>
      </c>
      <c r="D142" s="22" t="s">
        <v>13</v>
      </c>
      <c r="E142" s="23">
        <v>1</v>
      </c>
    </row>
    <row r="143" spans="1:5" ht="20" customHeight="1">
      <c r="A143" s="24">
        <v>50</v>
      </c>
      <c r="B143" s="21" t="s">
        <v>45</v>
      </c>
      <c r="C143" s="22" t="s">
        <v>12</v>
      </c>
      <c r="D143" s="22" t="s">
        <v>15</v>
      </c>
      <c r="E143" s="23">
        <v>1</v>
      </c>
    </row>
    <row r="144" spans="1:5" ht="20" customHeight="1">
      <c r="A144" s="24">
        <v>50</v>
      </c>
      <c r="B144" s="21" t="s">
        <v>45</v>
      </c>
      <c r="C144" s="22" t="s">
        <v>9</v>
      </c>
      <c r="D144" s="22" t="s">
        <v>14</v>
      </c>
      <c r="E144" s="23">
        <v>1</v>
      </c>
    </row>
    <row r="145" spans="1:5" ht="20" customHeight="1">
      <c r="A145" s="24">
        <v>50</v>
      </c>
      <c r="B145" s="21" t="s">
        <v>45</v>
      </c>
      <c r="C145" s="22" t="s">
        <v>9</v>
      </c>
      <c r="D145" s="22" t="s">
        <v>13</v>
      </c>
      <c r="E145" s="23">
        <v>2</v>
      </c>
    </row>
    <row r="146" spans="1:5" ht="20" customHeight="1">
      <c r="A146" s="24">
        <v>50</v>
      </c>
      <c r="B146" s="21" t="s">
        <v>45</v>
      </c>
      <c r="C146" s="22" t="s">
        <v>9</v>
      </c>
      <c r="D146" s="22" t="s">
        <v>15</v>
      </c>
      <c r="E146" s="23">
        <v>0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4137-3196-1F4B-9D9C-2752FB5BFA32}">
  <sheetPr>
    <tabColor theme="5" tint="-0.249977111117893"/>
  </sheetPr>
  <dimension ref="A1"/>
  <sheetViews>
    <sheetView tabSelected="1" workbookViewId="0">
      <selection activeCell="P39" sqref="P39"/>
    </sheetView>
  </sheetViews>
  <sheetFormatPr baseColWidth="10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BF3EC92010C40AB709614A881B78C" ma:contentTypeVersion="15" ma:contentTypeDescription="Create a new document." ma:contentTypeScope="" ma:versionID="dd3f59c9f486cbfddcdfb9b37138712e">
  <xsd:schema xmlns:xsd="http://www.w3.org/2001/XMLSchema" xmlns:xs="http://www.w3.org/2001/XMLSchema" xmlns:p="http://schemas.microsoft.com/office/2006/metadata/properties" xmlns:ns2="1f9ef79d-73e0-4e80-a94e-bca4aac6ae19" xmlns:ns3="37e8a054-c3ef-4ef6-bc24-8e81f835a26f" targetNamespace="http://schemas.microsoft.com/office/2006/metadata/properties" ma:root="true" ma:fieldsID="21e7cb913070bc3ec95a44464f7bed5e" ns2:_="" ns3:_="">
    <xsd:import namespace="1f9ef79d-73e0-4e80-a94e-bca4aac6ae19"/>
    <xsd:import namespace="37e8a054-c3ef-4ef6-bc24-8e81f835a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ef79d-73e0-4e80-a94e-bca4aac6a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c95d3fb-baf3-48f9-acdd-2801d4749b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8a054-c3ef-4ef6-bc24-8e81f835a26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69eb3a-83a6-49f9-813c-0ee44a74ddf7}" ma:internalName="TaxCatchAll" ma:showField="CatchAllData" ma:web="37e8a054-c3ef-4ef6-bc24-8e81f835a2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9ef79d-73e0-4e80-a94e-bca4aac6ae19">
      <Terms xmlns="http://schemas.microsoft.com/office/infopath/2007/PartnerControls"/>
    </lcf76f155ced4ddcb4097134ff3c332f>
    <TaxCatchAll xmlns="37e8a054-c3ef-4ef6-bc24-8e81f835a26f" xsi:nil="true"/>
  </documentManagement>
</p:properties>
</file>

<file path=customXml/itemProps1.xml><?xml version="1.0" encoding="utf-8"?>
<ds:datastoreItem xmlns:ds="http://schemas.openxmlformats.org/officeDocument/2006/customXml" ds:itemID="{64513223-BB8B-4C19-A4E6-0B4CFA8BA6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763A40-EC99-4DC3-9379-12D145691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9ef79d-73e0-4e80-a94e-bca4aac6ae19"/>
    <ds:schemaRef ds:uri="37e8a054-c3ef-4ef6-bc24-8e81f835a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F1279D-4B79-47CF-B8E9-26E58F421CE3}">
  <ds:schemaRefs>
    <ds:schemaRef ds:uri="http://purl.org/dc/elements/1.1/"/>
    <ds:schemaRef ds:uri="http://schemas.microsoft.com/office/2006/metadata/properties"/>
    <ds:schemaRef ds:uri="http://purl.org/dc/dcmitype/"/>
    <ds:schemaRef ds:uri="37e8a054-c3ef-4ef6-bc24-8e81f835a26f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f9ef79d-73e0-4e80-a94e-bca4aac6ae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RawData</vt:lpstr>
      <vt:lpstr>Demographics</vt:lpstr>
      <vt:lpstr>Geographic</vt:lpstr>
      <vt:lpstr>Behavioural</vt:lpstr>
      <vt:lpstr>AnalysisDashboard</vt:lpstr>
      <vt:lpstr>Group Presentation_market_segme</vt:lpstr>
      <vt:lpstr>Segment_Summary</vt:lpstr>
      <vt:lpstr>PYTON_GENERATED</vt:lpstr>
      <vt:lpstr>FlowChart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zakaria</dc:creator>
  <cp:lastModifiedBy>Bimbo Olukoya Solanke</cp:lastModifiedBy>
  <dcterms:created xsi:type="dcterms:W3CDTF">2024-10-04T23:18:57Z</dcterms:created>
  <dcterms:modified xsi:type="dcterms:W3CDTF">2024-12-06T04:19:43Z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0x0101003CFBF3EC92010C40AB709614A881B78C</vt:lpwstr>
  </property>
</Properties>
</file>